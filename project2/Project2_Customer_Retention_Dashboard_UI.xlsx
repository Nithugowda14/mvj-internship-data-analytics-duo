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f52643472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eafbc773e364bb0"/>
    <x:sheet xmlns:r="http://schemas.openxmlformats.org/officeDocument/2006/relationships" name="Cohorts" sheetId="2" r:id="R161f7086675c4f7f"/>
    <x:sheet xmlns:r="http://schemas.openxmlformats.org/officeDocument/2006/relationships" name="RFM Segments" sheetId="3" r:id="R0c38ece139fc48f0"/>
    <x:sheet xmlns:r="http://schemas.openxmlformats.org/officeDocument/2006/relationships" name="Data" sheetId="4" r:id="R5348f1a667484b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%"/>
    <x:numFmt numFmtId="202" formatCode="$#,##0"/>
    <x:numFmt numFmtId="203" formatCode="$0.00"/>
    <x:numFmt numFmtId="204" formatCode="$#,##0.00"/>
    <x:numFmt numFmtId="205" formatCode="0.0%"/>
  </x:numFmts>
  <x:fonts count="16">
    <x:font>
      <x:sz val="11"/>
      <x:name val="Carlito"/>
    </x:font>
    <x:font>
      <x:sz val="10"/>
      <x:color rgb="FF26363E"/>
      <x:name val="Aptos"/>
    </x:font>
    <x:font>
      <x:b/>
      <x:sz val="22"/>
      <x:color rgb="FF26363E"/>
      <x:name val="Aptos"/>
    </x:font>
    <x:font>
      <x:sz val="10"/>
      <x:color rgb="FF68777E"/>
      <x:name val="Aptos"/>
    </x:font>
    <x:font>
      <x:b/>
      <x:sz val="9"/>
      <x:color rgb="FF26363E"/>
      <x:name val="Aptos"/>
    </x:font>
    <x:font>
      <x:b/>
      <x:sz val="12"/>
      <x:color rgb="FF26363E"/>
      <x:name val="Aptos"/>
    </x:font>
    <x:font>
      <x:b/>
      <x:sz val="8"/>
      <x:color rgb="FF68777E"/>
      <x:name val="Aptos"/>
    </x:font>
    <x:font>
      <x:b/>
      <x:sz val="9"/>
      <x:color rgb="FF68777E"/>
      <x:name val="Aptos"/>
    </x:font>
    <x:font>
      <x:b/>
      <x:sz val="19"/>
      <x:color rgb="FF26363E"/>
      <x:name val="Aptos"/>
    </x:font>
    <x:font>
      <x:b/>
      <x:sz val="10"/>
      <x:color rgb="FF26363E"/>
      <x:name val="Aptos"/>
    </x:font>
    <x:font>
      <x:sz val="10"/>
      <x:color rgb="FF334047"/>
      <x:name val="Aptos"/>
    </x:font>
    <x:font>
      <x:b/>
      <x:sz val="20"/>
      <x:color rgb="FF26363E"/>
      <x:name val="Aptos"/>
    </x:font>
    <x:font>
      <x:i/>
      <x:sz val="10"/>
      <x:color rgb="FF26363E"/>
      <x:name val="Aptos"/>
    </x:font>
    <x:font>
      <x:b/>
      <x:sz val="11"/>
      <x:color rgb="FF26363E"/>
      <x:name val="Aptos"/>
    </x:font>
    <x:font>
      <x:sz val="9"/>
      <x:color rgb="FF334047"/>
      <x:name val="Aptos"/>
    </x:font>
    <x:font>
      <x:i/>
      <x:sz val="9"/>
      <x:color rgb="FF68777E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F4F7F8"/>
      </x:patternFill>
    </x:fill>
    <x:fill>
      <x:patternFill patternType="solid">
        <x:fgColor rgb="FFEDF3F5"/>
      </x:patternFill>
    </x:fill>
    <x:fill>
      <x:patternFill patternType="solid">
        <x:fgColor rgb="FFFFFFFF"/>
      </x:patternFill>
    </x:fill>
    <x:fill>
      <x:patternFill patternType="solid">
        <x:fgColor rgb="FFE6EEF1"/>
      </x:patternFill>
    </x:fill>
    <x:fill>
      <x:patternFill patternType="solid">
        <x:fgColor rgb="FFF9FBFC"/>
      </x:patternFill>
    </x:fill>
  </x:fills>
  <x:borders count="14">
    <x:border>
      <x:left/>
      <x:right/>
      <x:top/>
      <x:bottom/>
      <x:diagonal/>
    </x:border>
    <x:border>
      <x:left style="medium">
        <x:color rgb="FF21AEB0"/>
      </x:left>
      <x:right/>
      <x:top style="medium">
        <x:color rgb="FF21AEB0"/>
      </x:top>
      <x:bottom/>
      <x:diagonal/>
    </x:border>
    <x:border>
      <x:left/>
      <x:right style="medium">
        <x:color rgb="FF21AEB0"/>
      </x:right>
      <x:top style="medium">
        <x:color rgb="FF21AEB0"/>
      </x:top>
      <x:bottom/>
      <x:diagonal/>
    </x:border>
    <x:border>
      <x:left style="medium">
        <x:color rgb="FF21AEB0"/>
      </x:left>
      <x:right/>
      <x:top/>
      <x:bottom style="medium">
        <x:color rgb="FF21AEB0"/>
      </x:bottom>
      <x:diagonal/>
    </x:border>
    <x:border>
      <x:left/>
      <x:right style="medium">
        <x:color rgb="FF21AEB0"/>
      </x:right>
      <x:top/>
      <x:bottom style="medium">
        <x:color rgb="FF21AEB0"/>
      </x:bottom>
      <x:diagonal/>
    </x:border>
    <x:border>
      <x:left style="thin">
        <x:color rgb="FFD6E0E4"/>
      </x:left>
      <x:right/>
      <x:top style="thin">
        <x:color rgb="FFD6E0E4"/>
      </x:top>
      <x:bottom style="thin">
        <x:color rgb="FFD6E0E4"/>
      </x:bottom>
      <x:diagonal/>
    </x:border>
    <x:border>
      <x:left/>
      <x:right/>
      <x:top style="thin">
        <x:color rgb="FFD6E0E4"/>
      </x:top>
      <x:bottom style="thin">
        <x:color rgb="FFD6E0E4"/>
      </x:bottom>
      <x:diagonal/>
    </x:border>
    <x:border>
      <x:left/>
      <x:right style="thin">
        <x:color rgb="FFD6E0E4"/>
      </x:right>
      <x:top style="thin">
        <x:color rgb="FFD6E0E4"/>
      </x:top>
      <x:bottom style="thin">
        <x:color rgb="FFD6E0E4"/>
      </x:bottom>
      <x:diagonal/>
    </x:border>
    <x:border>
      <x:left style="thin">
        <x:color rgb="FFD6E0E4"/>
      </x:left>
      <x:right/>
      <x:top style="thin">
        <x:color rgb="FFD6E0E4"/>
      </x:top>
      <x:bottom/>
      <x:diagonal/>
    </x:border>
    <x:border>
      <x:left/>
      <x:right/>
      <x:top style="thin">
        <x:color rgb="FFD6E0E4"/>
      </x:top>
      <x:bottom/>
      <x:diagonal/>
    </x:border>
    <x:border>
      <x:left/>
      <x:right style="thin">
        <x:color rgb="FFD6E0E4"/>
      </x:right>
      <x:top style="thin">
        <x:color rgb="FFD6E0E4"/>
      </x:top>
      <x:bottom/>
      <x:diagonal/>
    </x:border>
    <x:border>
      <x:left style="thin">
        <x:color rgb="FFD6E0E4"/>
      </x:left>
      <x:right/>
      <x:top/>
      <x:bottom style="thin">
        <x:color rgb="FFD6E0E4"/>
      </x:bottom>
      <x:diagonal/>
    </x:border>
    <x:border>
      <x:left/>
      <x:right/>
      <x:top/>
      <x:bottom style="thin">
        <x:color rgb="FFD6E0E4"/>
      </x:bottom>
      <x:diagonal/>
    </x:border>
    <x:border>
      <x:left/>
      <x:right style="thin">
        <x:color rgb="FFD6E0E4"/>
      </x:right>
      <x:top/>
      <x:bottom style="thin">
        <x:color rgb="FFD6E0E4"/>
      </x:bottom>
      <x:diagonal/>
    </x:border>
  </x:borders>
  <x:cellStyleXfs count="1">
    <x:xf numFmtId="0" fontId="0" fillId="0" borderId="0"/>
  </x:cellStyleXfs>
  <x:cellXfs count="1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 applyAlignment="1">
      <x:alignment horizontal="center"/>
    </x:xf>
    <x:xf numFmtId="0" fontId="5" fillId="4" borderId="3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5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/>
    </x:xf>
    <x:xf numFmtId="0" fontId="7" fillId="5" borderId="7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200" fontId="8" fillId="6" borderId="8" xfId="0" applyNumberFormat="1" applyFont="1" applyFill="1" applyBorder="1"/>
    <x:xf numFmtId="200" fontId="8" fillId="6" borderId="9" xfId="0" applyNumberFormat="1" applyFont="1" applyFill="1" applyBorder="1"/>
    <x:xf numFmtId="200" fontId="8" fillId="6" borderId="10" xfId="0" applyNumberFormat="1" applyFont="1" applyFill="1" applyBorder="1"/>
    <x:xf numFmtId="200" fontId="8" fillId="6" borderId="11" xfId="0" applyNumberFormat="1" applyFont="1" applyFill="1" applyBorder="1"/>
    <x:xf numFmtId="200" fontId="8" fillId="6" borderId="12" xfId="0" applyNumberFormat="1" applyFont="1" applyFill="1" applyBorder="1"/>
    <x:xf numFmtId="200" fontId="8" fillId="6" borderId="13" xfId="0" applyNumberFormat="1" applyFont="1" applyFill="1" applyBorder="1"/>
    <x:xf numFmtId="200" fontId="8" fillId="6" borderId="8" xfId="0" applyNumberFormat="1" applyFont="1" applyFill="1" applyBorder="1" applyAlignment="1">
      <x:alignment horizontal="center"/>
    </x:xf>
    <x:xf numFmtId="200" fontId="8" fillId="6" borderId="9" xfId="0" applyNumberFormat="1" applyFont="1" applyFill="1" applyBorder="1" applyAlignment="1">
      <x:alignment horizontal="center"/>
    </x:xf>
    <x:xf numFmtId="200" fontId="8" fillId="6" borderId="10" xfId="0" applyNumberFormat="1" applyFont="1" applyFill="1" applyBorder="1" applyAlignment="1">
      <x:alignment horizontal="center"/>
    </x:xf>
    <x:xf numFmtId="200" fontId="8" fillId="6" borderId="11" xfId="0" applyNumberFormat="1" applyFont="1" applyFill="1" applyBorder="1" applyAlignment="1">
      <x:alignment horizontal="center"/>
    </x:xf>
    <x:xf numFmtId="200" fontId="8" fillId="6" borderId="12" xfId="0" applyNumberFormat="1" applyFont="1" applyFill="1" applyBorder="1" applyAlignment="1">
      <x:alignment horizontal="center"/>
    </x:xf>
    <x:xf numFmtId="200" fontId="8" fillId="6" borderId="13" xfId="0" applyNumberFormat="1" applyFont="1" applyFill="1" applyBorder="1" applyAlignment="1">
      <x:alignment horizontal="center"/>
    </x:xf>
    <x:xf numFmtId="200" fontId="8" fillId="6" borderId="8" xfId="0" applyNumberFormat="1" applyFont="1" applyFill="1" applyBorder="1" applyAlignment="1">
      <x:alignment horizontal="center" vertical="center"/>
    </x:xf>
    <x:xf numFmtId="200" fontId="8" fillId="6" borderId="9" xfId="0" applyNumberFormat="1" applyFont="1" applyFill="1" applyBorder="1" applyAlignment="1">
      <x:alignment horizontal="center" vertical="center"/>
    </x:xf>
    <x:xf numFmtId="200" fontId="8" fillId="6" borderId="10" xfId="0" applyNumberFormat="1" applyFont="1" applyFill="1" applyBorder="1" applyAlignment="1">
      <x:alignment horizontal="center" vertical="center"/>
    </x:xf>
    <x:xf numFmtId="200" fontId="8" fillId="6" borderId="11" xfId="0" applyNumberFormat="1" applyFont="1" applyFill="1" applyBorder="1" applyAlignment="1">
      <x:alignment horizontal="center" vertical="center"/>
    </x:xf>
    <x:xf numFmtId="200" fontId="8" fillId="6" borderId="12" xfId="0" applyNumberFormat="1" applyFont="1" applyFill="1" applyBorder="1" applyAlignment="1">
      <x:alignment horizontal="center" vertical="center"/>
    </x:xf>
    <x:xf numFmtId="200" fontId="8" fillId="6" borderId="13" xfId="0" applyNumberFormat="1" applyFont="1" applyFill="1" applyBorder="1" applyAlignment="1">
      <x:alignment horizontal="center" vertical="center"/>
    </x:xf>
    <x:xf numFmtId="201" fontId="8" fillId="6" borderId="8" xfId="0" applyNumberFormat="1" applyFont="1" applyFill="1" applyBorder="1"/>
    <x:xf numFmtId="201" fontId="8" fillId="6" borderId="9" xfId="0" applyNumberFormat="1" applyFont="1" applyFill="1" applyBorder="1"/>
    <x:xf numFmtId="201" fontId="8" fillId="6" borderId="10" xfId="0" applyNumberFormat="1" applyFont="1" applyFill="1" applyBorder="1"/>
    <x:xf numFmtId="201" fontId="8" fillId="6" borderId="11" xfId="0" applyNumberFormat="1" applyFont="1" applyFill="1" applyBorder="1"/>
    <x:xf numFmtId="201" fontId="8" fillId="6" borderId="12" xfId="0" applyNumberFormat="1" applyFont="1" applyFill="1" applyBorder="1"/>
    <x:xf numFmtId="201" fontId="8" fillId="6" borderId="13" xfId="0" applyNumberFormat="1" applyFont="1" applyFill="1" applyBorder="1"/>
    <x:xf numFmtId="201" fontId="8" fillId="6" borderId="8" xfId="0" applyNumberFormat="1" applyFont="1" applyFill="1" applyBorder="1" applyAlignment="1">
      <x:alignment horizontal="center"/>
    </x:xf>
    <x:xf numFmtId="201" fontId="8" fillId="6" borderId="9" xfId="0" applyNumberFormat="1" applyFont="1" applyFill="1" applyBorder="1" applyAlignment="1">
      <x:alignment horizontal="center"/>
    </x:xf>
    <x:xf numFmtId="201" fontId="8" fillId="6" borderId="10" xfId="0" applyNumberFormat="1" applyFont="1" applyFill="1" applyBorder="1" applyAlignment="1">
      <x:alignment horizontal="center"/>
    </x:xf>
    <x:xf numFmtId="201" fontId="8" fillId="6" borderId="11" xfId="0" applyNumberFormat="1" applyFont="1" applyFill="1" applyBorder="1" applyAlignment="1">
      <x:alignment horizontal="center"/>
    </x:xf>
    <x:xf numFmtId="201" fontId="8" fillId="6" borderId="12" xfId="0" applyNumberFormat="1" applyFont="1" applyFill="1" applyBorder="1" applyAlignment="1">
      <x:alignment horizontal="center"/>
    </x:xf>
    <x:xf numFmtId="201" fontId="8" fillId="6" borderId="13" xfId="0" applyNumberFormat="1" applyFont="1" applyFill="1" applyBorder="1" applyAlignment="1">
      <x:alignment horizontal="center"/>
    </x:xf>
    <x:xf numFmtId="201" fontId="8" fillId="6" borderId="8" xfId="0" applyNumberFormat="1" applyFont="1" applyFill="1" applyBorder="1" applyAlignment="1">
      <x:alignment horizontal="center" vertical="center"/>
    </x:xf>
    <x:xf numFmtId="201" fontId="8" fillId="6" borderId="9" xfId="0" applyNumberFormat="1" applyFont="1" applyFill="1" applyBorder="1" applyAlignment="1">
      <x:alignment horizontal="center" vertical="center"/>
    </x:xf>
    <x:xf numFmtId="201" fontId="8" fillId="6" borderId="10" xfId="0" applyNumberFormat="1" applyFont="1" applyFill="1" applyBorder="1" applyAlignment="1">
      <x:alignment horizontal="center" vertical="center"/>
    </x:xf>
    <x:xf numFmtId="201" fontId="8" fillId="6" borderId="11" xfId="0" applyNumberFormat="1" applyFont="1" applyFill="1" applyBorder="1" applyAlignment="1">
      <x:alignment horizontal="center" vertical="center"/>
    </x:xf>
    <x:xf numFmtId="201" fontId="8" fillId="6" borderId="12" xfId="0" applyNumberFormat="1" applyFont="1" applyFill="1" applyBorder="1" applyAlignment="1">
      <x:alignment horizontal="center" vertical="center"/>
    </x:xf>
    <x:xf numFmtId="201" fontId="8" fillId="6" borderId="13" xfId="0" applyNumberFormat="1" applyFont="1" applyFill="1" applyBorder="1" applyAlignment="1">
      <x:alignment horizontal="center" vertical="center"/>
    </x:xf>
    <x:xf numFmtId="202" fontId="8" fillId="6" borderId="8" xfId="0" applyNumberFormat="1" applyFont="1" applyFill="1" applyBorder="1"/>
    <x:xf numFmtId="202" fontId="8" fillId="6" borderId="9" xfId="0" applyNumberFormat="1" applyFont="1" applyFill="1" applyBorder="1"/>
    <x:xf numFmtId="202" fontId="8" fillId="6" borderId="10" xfId="0" applyNumberFormat="1" applyFont="1" applyFill="1" applyBorder="1"/>
    <x:xf numFmtId="202" fontId="8" fillId="6" borderId="11" xfId="0" applyNumberFormat="1" applyFont="1" applyFill="1" applyBorder="1"/>
    <x:xf numFmtId="202" fontId="8" fillId="6" borderId="12" xfId="0" applyNumberFormat="1" applyFont="1" applyFill="1" applyBorder="1"/>
    <x:xf numFmtId="202" fontId="8" fillId="6" borderId="13" xfId="0" applyNumberFormat="1" applyFont="1" applyFill="1" applyBorder="1"/>
    <x:xf numFmtId="202" fontId="8" fillId="6" borderId="8" xfId="0" applyNumberFormat="1" applyFont="1" applyFill="1" applyBorder="1" applyAlignment="1">
      <x:alignment horizontal="center"/>
    </x:xf>
    <x:xf numFmtId="202" fontId="8" fillId="6" borderId="9" xfId="0" applyNumberFormat="1" applyFont="1" applyFill="1" applyBorder="1" applyAlignment="1">
      <x:alignment horizontal="center"/>
    </x:xf>
    <x:xf numFmtId="202" fontId="8" fillId="6" borderId="10" xfId="0" applyNumberFormat="1" applyFont="1" applyFill="1" applyBorder="1" applyAlignment="1">
      <x:alignment horizontal="center"/>
    </x:xf>
    <x:xf numFmtId="202" fontId="8" fillId="6" borderId="11" xfId="0" applyNumberFormat="1" applyFont="1" applyFill="1" applyBorder="1" applyAlignment="1">
      <x:alignment horizontal="center"/>
    </x:xf>
    <x:xf numFmtId="202" fontId="8" fillId="6" borderId="12" xfId="0" applyNumberFormat="1" applyFont="1" applyFill="1" applyBorder="1" applyAlignment="1">
      <x:alignment horizontal="center"/>
    </x:xf>
    <x:xf numFmtId="202" fontId="8" fillId="6" borderId="13" xfId="0" applyNumberFormat="1" applyFont="1" applyFill="1" applyBorder="1" applyAlignment="1">
      <x:alignment horizontal="center"/>
    </x:xf>
    <x:xf numFmtId="202" fontId="8" fillId="6" borderId="8" xfId="0" applyNumberFormat="1" applyFont="1" applyFill="1" applyBorder="1" applyAlignment="1">
      <x:alignment horizontal="center" vertical="center"/>
    </x:xf>
    <x:xf numFmtId="202" fontId="8" fillId="6" borderId="9" xfId="0" applyNumberFormat="1" applyFont="1" applyFill="1" applyBorder="1" applyAlignment="1">
      <x:alignment horizontal="center" vertical="center"/>
    </x:xf>
    <x:xf numFmtId="202" fontId="8" fillId="6" borderId="10" xfId="0" applyNumberFormat="1" applyFont="1" applyFill="1" applyBorder="1" applyAlignment="1">
      <x:alignment horizontal="center" vertical="center"/>
    </x:xf>
    <x:xf numFmtId="202" fontId="8" fillId="6" borderId="11" xfId="0" applyNumberFormat="1" applyFont="1" applyFill="1" applyBorder="1" applyAlignment="1">
      <x:alignment horizontal="center" vertical="center"/>
    </x:xf>
    <x:xf numFmtId="202" fontId="8" fillId="6" borderId="12" xfId="0" applyNumberFormat="1" applyFont="1" applyFill="1" applyBorder="1" applyAlignment="1">
      <x:alignment horizontal="center" vertical="center"/>
    </x:xf>
    <x:xf numFmtId="202" fontId="8" fillId="6" borderId="13" xfId="0" applyNumberFormat="1" applyFont="1" applyFill="1" applyBorder="1" applyAlignment="1">
      <x:alignment horizontal="center" vertical="center"/>
    </x:xf>
    <x:xf numFmtId="203" fontId="8" fillId="6" borderId="8" xfId="0" applyNumberFormat="1" applyFont="1" applyFill="1" applyBorder="1"/>
    <x:xf numFmtId="203" fontId="8" fillId="6" borderId="9" xfId="0" applyNumberFormat="1" applyFont="1" applyFill="1" applyBorder="1"/>
    <x:xf numFmtId="203" fontId="8" fillId="6" borderId="10" xfId="0" applyNumberFormat="1" applyFont="1" applyFill="1" applyBorder="1"/>
    <x:xf numFmtId="203" fontId="8" fillId="6" borderId="11" xfId="0" applyNumberFormat="1" applyFont="1" applyFill="1" applyBorder="1"/>
    <x:xf numFmtId="203" fontId="8" fillId="6" borderId="12" xfId="0" applyNumberFormat="1" applyFont="1" applyFill="1" applyBorder="1"/>
    <x:xf numFmtId="203" fontId="8" fillId="6" borderId="13" xfId="0" applyNumberFormat="1" applyFont="1" applyFill="1" applyBorder="1"/>
    <x:xf numFmtId="203" fontId="8" fillId="6" borderId="8" xfId="0" applyNumberFormat="1" applyFont="1" applyFill="1" applyBorder="1" applyAlignment="1">
      <x:alignment horizontal="center"/>
    </x:xf>
    <x:xf numFmtId="203" fontId="8" fillId="6" borderId="9" xfId="0" applyNumberFormat="1" applyFont="1" applyFill="1" applyBorder="1" applyAlignment="1">
      <x:alignment horizontal="center"/>
    </x:xf>
    <x:xf numFmtId="203" fontId="8" fillId="6" borderId="10" xfId="0" applyNumberFormat="1" applyFont="1" applyFill="1" applyBorder="1" applyAlignment="1">
      <x:alignment horizontal="center"/>
    </x:xf>
    <x:xf numFmtId="203" fontId="8" fillId="6" borderId="11" xfId="0" applyNumberFormat="1" applyFont="1" applyFill="1" applyBorder="1" applyAlignment="1">
      <x:alignment horizontal="center"/>
    </x:xf>
    <x:xf numFmtId="203" fontId="8" fillId="6" borderId="12" xfId="0" applyNumberFormat="1" applyFont="1" applyFill="1" applyBorder="1" applyAlignment="1">
      <x:alignment horizontal="center"/>
    </x:xf>
    <x:xf numFmtId="203" fontId="8" fillId="6" borderId="13" xfId="0" applyNumberFormat="1" applyFont="1" applyFill="1" applyBorder="1" applyAlignment="1">
      <x:alignment horizontal="center"/>
    </x:xf>
    <x:xf numFmtId="203" fontId="8" fillId="6" borderId="8" xfId="0" applyNumberFormat="1" applyFont="1" applyFill="1" applyBorder="1" applyAlignment="1">
      <x:alignment horizontal="center" vertical="center"/>
    </x:xf>
    <x:xf numFmtId="203" fontId="8" fillId="6" borderId="9" xfId="0" applyNumberFormat="1" applyFont="1" applyFill="1" applyBorder="1" applyAlignment="1">
      <x:alignment horizontal="center" vertical="center"/>
    </x:xf>
    <x:xf numFmtId="203" fontId="8" fillId="6" borderId="10" xfId="0" applyNumberFormat="1" applyFont="1" applyFill="1" applyBorder="1" applyAlignment="1">
      <x:alignment horizontal="center" vertical="center"/>
    </x:xf>
    <x:xf numFmtId="203" fontId="8" fillId="6" borderId="11" xfId="0" applyNumberFormat="1" applyFont="1" applyFill="1" applyBorder="1" applyAlignment="1">
      <x:alignment horizontal="center" vertical="center"/>
    </x:xf>
    <x:xf numFmtId="203" fontId="8" fillId="6" borderId="12" xfId="0" applyNumberFormat="1" applyFont="1" applyFill="1" applyBorder="1" applyAlignment="1">
      <x:alignment horizontal="center" vertical="center"/>
    </x:xf>
    <x:xf numFmtId="203" fontId="8" fillId="6" borderId="13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4" fillId="3" borderId="7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3" borderId="0" xfId="0" applyNumberFormat="1" applyFont="1" applyFill="1" applyBorder="1"/>
    <x:xf numFmtId="204" fontId="10" fillId="0" borderId="0" xfId="0" applyNumberFormat="1" applyFont="1" applyFill="1" applyBorder="1"/>
    <x:xf numFmtId="204" fontId="9" fillId="3" borderId="0" xfId="0" applyNumberFormat="1" applyFont="1" applyFill="1" applyBorder="1"/>
    <x:xf numFmtId="201" fontId="10" fillId="0" borderId="0" xfId="0" applyNumberFormat="1" applyFont="1" applyFill="1" applyBorder="1"/>
    <x:xf numFmtId="201" fontId="9" fillId="3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5" fontId="10" fillId="0" borderId="0" xfId="0" applyNumberFormat="1" applyFont="1" applyFill="1" applyBorder="1"/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  <x:xf numFmtId="201" fontId="10" fillId="4" borderId="0" xfId="0" applyNumberFormat="1" applyFont="1" applyFill="1" applyBorder="1"/>
    <x:xf numFmtId="200" fontId="10" fillId="4" borderId="0" xfId="0" applyNumberFormat="1" applyFont="1" applyFill="1" applyBorder="1"/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200" fontId="9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horizontal="center" wrapText="1"/>
    </x:xf>
    <x:xf numFmtId="200" fontId="10" fillId="0" borderId="0" xfId="0" applyNumberFormat="1" applyFont="1" applyFill="1" applyBorder="1"/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/>
    <x:xf numFmtId="0" fontId="14" fillId="4" borderId="8" xfId="0" applyNumberFormat="1" applyFont="1" applyFill="1" applyBorder="1"/>
    <x:xf numFmtId="0" fontId="14" fillId="4" borderId="9" xfId="0" applyNumberFormat="1" applyFont="1" applyFill="1" applyBorder="1"/>
    <x:xf numFmtId="0" fontId="14" fillId="4" borderId="10" xfId="0" applyNumberFormat="1" applyFont="1" applyFill="1" applyBorder="1"/>
    <x:xf numFmtId="0" fontId="14" fillId="4" borderId="11" xfId="0" applyNumberFormat="1" applyFont="1" applyFill="1" applyBorder="1"/>
    <x:xf numFmtId="0" fontId="14" fillId="4" borderId="12" xfId="0" applyNumberFormat="1" applyFont="1" applyFill="1" applyBorder="1"/>
    <x:xf numFmtId="0" fontId="14" fillId="4" borderId="13" xfId="0" applyNumberFormat="1" applyFont="1" applyFill="1" applyBorder="1"/>
    <x:xf numFmtId="0" fontId="14" fillId="4" borderId="8" xfId="0" applyNumberFormat="1" applyFont="1" applyFill="1" applyBorder="1" applyAlignment="1">
      <x:alignment wrapText="1"/>
    </x:xf>
    <x:xf numFmtId="0" fontId="14" fillId="4" borderId="9" xfId="0" applyNumberFormat="1" applyFont="1" applyFill="1" applyBorder="1" applyAlignment="1">
      <x:alignment wrapText="1"/>
    </x:xf>
    <x:xf numFmtId="0" fontId="14" fillId="4" borderId="10" xfId="0" applyNumberFormat="1" applyFont="1" applyFill="1" applyBorder="1" applyAlignment="1">
      <x:alignment wrapText="1"/>
    </x:xf>
    <x:xf numFmtId="0" fontId="14" fillId="4" borderId="11" xfId="0" applyNumberFormat="1" applyFont="1" applyFill="1" applyBorder="1" applyAlignment="1">
      <x:alignment wrapText="1"/>
    </x:xf>
    <x:xf numFmtId="0" fontId="14" fillId="4" borderId="12" xfId="0" applyNumberFormat="1" applyFont="1" applyFill="1" applyBorder="1" applyAlignment="1">
      <x:alignment wrapText="1"/>
    </x:xf>
    <x:xf numFmtId="0" fontId="14" fillId="4" borderId="13" xfId="0" applyNumberFormat="1" applyFont="1" applyFill="1" applyBorder="1" applyAlignment="1">
      <x:alignment wrapText="1"/>
    </x:xf>
    <x:xf numFmtId="0" fontId="14" fillId="4" borderId="8" xfId="0" applyNumberFormat="1" applyFont="1" applyFill="1" applyBorder="1" applyAlignment="1">
      <x:alignment vertical="center" wrapText="1"/>
    </x:xf>
    <x:xf numFmtId="0" fontId="14" fillId="4" borderId="9" xfId="0" applyNumberFormat="1" applyFont="1" applyFill="1" applyBorder="1" applyAlignment="1">
      <x:alignment vertical="center" wrapText="1"/>
    </x:xf>
    <x:xf numFmtId="0" fontId="14" fillId="4" borderId="10" xfId="0" applyNumberFormat="1" applyFont="1" applyFill="1" applyBorder="1" applyAlignment="1">
      <x:alignment vertical="center" wrapText="1"/>
    </x:xf>
    <x:xf numFmtId="0" fontId="14" fillId="4" borderId="11" xfId="0" applyNumberFormat="1" applyFont="1" applyFill="1" applyBorder="1" applyAlignment="1">
      <x:alignment vertical="center" wrapText="1"/>
    </x:xf>
    <x:xf numFmtId="0" fontId="14" fillId="4" borderId="12" xfId="0" applyNumberFormat="1" applyFont="1" applyFill="1" applyBorder="1" applyAlignment="1">
      <x:alignment vertical="center" wrapText="1"/>
    </x:xf>
    <x:xf numFmtId="0" fontId="14" fillId="4" borderId="13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/>
    <x:xf numFmtId="0" fontId="15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e91ed47b54ded" /><Relationship Type="http://schemas.openxmlformats.org/officeDocument/2006/relationships/theme" Target="/xl/theme/theme1.xml" Id="R6ccdd3b0b300480c" /><Relationship Type="http://schemas.openxmlformats.org/officeDocument/2006/relationships/sharedStrings" Target="/xl/sharedStrings.xml" Id="Rca6ddfc3c9a54763" /><Relationship Type="http://schemas.openxmlformats.org/officeDocument/2006/relationships/worksheet" Target="/xl/worksheets/sheet1.xml" Id="Rbeafbc773e364bb0" /><Relationship Type="http://schemas.openxmlformats.org/officeDocument/2006/relationships/worksheet" Target="/xl/worksheets/sheet2.xml" Id="R161f7086675c4f7f" /><Relationship Type="http://schemas.openxmlformats.org/officeDocument/2006/relationships/worksheet" Target="/xl/worksheets/sheet3.xml" Id="R0c38ece139fc48f0" /><Relationship Type="http://schemas.openxmlformats.org/officeDocument/2006/relationships/worksheet" Target="/xl/worksheets/sheet4.xml" Id="R5348f1a667484b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3c67cb95694065" /><Relationship Type="http://schemas.openxmlformats.org/officeDocument/2006/relationships/chart" Target="/xl/drawings/charts/chart2.xml" Id="R5873933633d54ecb" /><Relationship Type="http://schemas.openxmlformats.org/officeDocument/2006/relationships/chart" Target="/xl/drawings/charts/chart3.xml" Id="R02557c08e34d4225" /><Relationship Type="http://schemas.openxmlformats.org/officeDocument/2006/relationships/chart" Target="/xl/drawings/charts/chart4.xml" Id="R30e4304a951a4d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ptos"/>
                <a:ea typeface="Aptos"/>
                <a:cs typeface="Aptos"/>
              </a:rPr>
              <a:t>Monthly Sales Revenue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Sales Revenue (USD)</c:v>
          </c:tx>
          <c:spPr>
            <a:ln xmlns:a="http://schemas.openxmlformats.org/drawingml/2006/main" w="23813">
              <a:solidFill>
                <a:srgbClr val="21AEB0"/>
              </a:solidFill>
              <a:prstDash val="solid"/>
            </a:ln>
          </c:spPr>
          <c:marker>
            <c:symbol val="none"/>
          </c:marker>
          <c:cat>
            <c:strRef>
              <c:f>'Data'!$Q$2:$Q$13</c:f>
              <c:strCache>
                <c:ptCount val="0"/>
              </c:strCache>
            </c:strRef>
          </c:cat>
          <c:val>
            <c:numRef>
              <c:f>'Data'!$R$2:$R$13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ptos"/>
                <a:ea typeface="Aptos"/>
                <a:cs typeface="Aptos"/>
              </a:rPr>
              <a:t>Orders by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Orders</c:v>
          </c:tx>
          <c:spPr>
            <a:solidFill xmlns:a="http://schemas.openxmlformats.org/drawingml/2006/main">
              <a:srgbClr val="21AEB0"/>
            </a:solidFill>
          </c:spPr>
          <c:invertIfNegative val="0"/>
          <c:cat>
            <c:strRef>
              <c:f>'Data'!$S$2:$S$13</c:f>
              <c:strCache>
                <c:ptCount val="0"/>
              </c:strCache>
            </c:strRef>
          </c:cat>
          <c:val>
            <c:numRef>
              <c:f>'Data'!$T$2:$T$13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ptos"/>
                <a:ea typeface="Aptos"/>
                <a:cs typeface="Aptos"/>
              </a:rPr>
              <a:t>Month 1 Retention by First Order Cohort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Month 1 Retention</c:v>
          </c:tx>
          <c:spPr>
            <a:ln xmlns:a="http://schemas.openxmlformats.org/drawingml/2006/main" w="23813">
              <a:solidFill>
                <a:srgbClr val="F07D43"/>
              </a:solidFill>
              <a:prstDash val="solid"/>
            </a:ln>
          </c:spPr>
          <c:marker>
            <c:symbol val="none"/>
          </c:marker>
          <c:cat>
            <c:strRef>
              <c:f>'Data'!$U$2:$U$38</c:f>
              <c:strCache>
                <c:ptCount val="0"/>
              </c:strCache>
            </c:strRef>
          </c:cat>
          <c:val>
            <c:numRef>
              <c:f>'Data'!$V$2:$V$38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6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ptos"/>
                <a:ea typeface="Aptos"/>
                <a:cs typeface="Aptos"/>
              </a:rPr>
              <a:t>RFM Customer Segments · Full Period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Customers</c:v>
          </c:tx>
          <c:spPr>
            <a:solidFill xmlns:a="http://schemas.openxmlformats.org/drawingml/2006/main">
              <a:srgbClr val="21AEB0"/>
            </a:solidFill>
          </c:spPr>
          <c:invertIfNegative val="0"/>
          <c:cat>
            <c:strRef>
              <c:f>'Data'!$X$2:$X$6</c:f>
              <c:strCache>
                <c:ptCount val="0"/>
              </c:strCache>
            </c:strRef>
          </c:cat>
          <c:val>
            <c:numRef>
              <c:f>'Data'!$Y$2:$Y$6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9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3c67cb95694065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18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73933633d54ecb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557c08e34d4225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e4304a951a4d2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e35dfe2a31474b" /></Relationships>
</file>

<file path=xl/worksheets/sheet1.xml><?xml version="1.0" encoding="utf-8"?>
<x:worksheet xmlns:x="http://schemas.openxmlformats.org/spreadsheetml/2006/main">
  <x:sheetPr>
    <x:tabColor rgb="FF26363E"/>
  </x:sheetPr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</x:cols>
  <x:sheetData>
    <x:row r="1" ht="20" customHeight="1">
      <x:c r="A1" s="5" t="str">
        <x:v>PROJECT 2  |  CUSTOMER RETENTION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2"/>
      <x:c r="P1" s="2"/>
      <x:c r="Q1" s="2"/>
      <x:c r="R1" s="2"/>
    </x:row>
    <x:row r="2" ht="20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2"/>
      <x:c r="P2" s="2"/>
      <x:c r="Q2" s="2"/>
      <x:c r="R2" s="2"/>
    </x:row>
    <x:row r="3" ht="20" customHeight="1">
      <x:c r="A3" s="7" t="str">
        <x:v>Maven Fuzzy Factory  •  2012-03-19 to 2015-03-19  •  RFM + cohort retention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11" t="str">
        <x:v>YEAR</x:v>
      </x:c>
      <x:c r="P3" s="11"/>
      <x:c r="Q3" s="22" t="n">
        <x:v>2014</x:v>
      </x:c>
      <x:c r="R3" s="23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4"/>
      <x:c r="R4" s="25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7" t="str">
        <x:v>SELECT TO FILTER</x:v>
      </x:c>
      <x:c r="P5" s="27"/>
      <x:c r="Q5" s="27"/>
      <x:c r="R5" s="27"/>
    </x:row>
    <x:row r="6" ht="20" customHeight="1">
      <x:c r="A6" s="36" t="str">
        <x:v>CUSTOMERS</x:v>
      </x:c>
      <x:c r="B6" s="37" t="str">
        <x:v>CUSTOMERS</x:v>
      </x:c>
      <x:c r="C6" s="38" t="str">
        <x:v>CUSTOMERS</x:v>
      </x:c>
      <x:c r="D6" s="36" t="str">
        <x:v>REPEAT CUSTOMERS</x:v>
      </x:c>
      <x:c r="E6" s="37" t="str">
        <x:v>REPEAT CUSTOMERS</x:v>
      </x:c>
      <x:c r="F6" s="38" t="str">
        <x:v>REPEAT CUSTOMERS</x:v>
      </x:c>
      <x:c r="G6" s="36" t="str">
        <x:v>REPEAT RATE</x:v>
      </x:c>
      <x:c r="H6" s="37" t="str">
        <x:v>REPEAT RATE</x:v>
      </x:c>
      <x:c r="I6" s="38" t="str">
        <x:v>REPEAT RATE</x:v>
      </x:c>
      <x:c r="J6" s="36" t="str">
        <x:v>ORDERS</x:v>
      </x:c>
      <x:c r="K6" s="37" t="str">
        <x:v>ORDERS</x:v>
      </x:c>
      <x:c r="L6" s="38" t="str">
        <x:v>ORDERS</x:v>
      </x:c>
      <x:c r="M6" s="36" t="str">
        <x:v>SALES REVENUE · USD</x:v>
      </x:c>
      <x:c r="N6" s="37" t="str">
        <x:v>SALES REVENUE · USD</x:v>
      </x:c>
      <x:c r="O6" s="38" t="str">
        <x:v>SALES REVENUE · USD</x:v>
      </x:c>
      <x:c r="P6" s="36" t="str">
        <x:v>AVERAGE ORDER VALUE</x:v>
      </x:c>
      <x:c r="Q6" s="37" t="str">
        <x:v>AVERAGE ORDER VALUE</x:v>
      </x:c>
      <x:c r="R6" s="38" t="str">
        <x:v>AVERAGE ORDER VALUE</x:v>
      </x:c>
    </x:row>
    <x:row r="7" ht="20" customHeight="1">
      <x:c r="A7" s="59" t="n">
        <x:f>SUMIFS('Data'!$D$2:$D$6,'Data'!$A$2:$A$6,$Q$3)</x:f>
        <x:v>16547</x:v>
      </x:c>
      <x:c r="B7" s="60"/>
      <x:c r="C7" s="61"/>
      <x:c r="D7" s="59" t="n">
        <x:f>SUMIFS('Data'!$E$2:$E$6,'Data'!$A$2:$A$6,$Q$3)</x:f>
        <x:v>304</x:v>
      </x:c>
      <x:c r="E7" s="60"/>
      <x:c r="F7" s="61"/>
      <x:c r="G7" s="77" t="n">
        <x:f>SUMIFS('Data'!$F$2:$F$6,'Data'!$A$2:$A$6,$Q$3)</x:f>
        <x:v>0.018371910316069377</x:v>
      </x:c>
      <x:c r="H7" s="78"/>
      <x:c r="I7" s="79"/>
      <x:c r="J7" s="59" t="n">
        <x:f>SUMIFS('Data'!$C$2:$C$6,'Data'!$A$2:$A$6,$Q$3)</x:f>
        <x:v>16860</x:v>
      </x:c>
      <x:c r="K7" s="60"/>
      <x:c r="L7" s="61"/>
      <x:c r="M7" s="95" t="n">
        <x:f>SUMIFS('Data'!$B$2:$B$6,'Data'!$A$2:$A$6,$Q$3)</x:f>
        <x:v>1075612.19</x:v>
      </x:c>
      <x:c r="N7" s="96"/>
      <x:c r="O7" s="97"/>
      <x:c r="P7" s="113" t="n">
        <x:f>IFERROR(M7/J7,0)</x:f>
        <x:v>63.79668979833926</x:v>
      </x:c>
      <x:c r="Q7" s="114"/>
      <x:c r="R7" s="115"/>
    </x:row>
    <x:row r="8" ht="20" customHeight="1">
      <x:c r="A8" s="62"/>
      <x:c r="B8" s="63"/>
      <x:c r="C8" s="64"/>
      <x:c r="D8" s="62"/>
      <x:c r="E8" s="63"/>
      <x:c r="F8" s="64"/>
      <x:c r="G8" s="80"/>
      <x:c r="H8" s="81"/>
      <x:c r="I8" s="82"/>
      <x:c r="J8" s="62"/>
      <x:c r="K8" s="63"/>
      <x:c r="L8" s="64"/>
      <x:c r="M8" s="98"/>
      <x:c r="N8" s="99"/>
      <x:c r="O8" s="100"/>
      <x:c r="P8" s="116"/>
      <x:c r="Q8" s="117"/>
      <x:c r="R8" s="118"/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0" customHeight="1">
      <x:c r="A10" s="125" t="str">
        <x:v>FULL PERIOD  ·  591 repeat customers  ·  1.86% repeat rate</x:v>
      </x:c>
      <x:c r="B10" s="126"/>
      <x:c r="C10" s="126"/>
      <x:c r="D10" s="126"/>
      <x:c r="E10" s="126"/>
      <x:c r="F10" s="126"/>
      <x:c r="G10" s="126"/>
      <x:c r="H10" s="126"/>
      <x:c r="I10" s="127"/>
      <x:c r="J10" s="125" t="str">
        <x:v>COHORT RETENTION  ·  0.96% weighted Month 1 retention</x:v>
      </x:c>
      <x:c r="K10" s="126"/>
      <x:c r="L10" s="126"/>
      <x:c r="M10" s="126"/>
      <x:c r="N10" s="126"/>
      <x:c r="O10" s="126"/>
      <x:c r="P10" s="126"/>
      <x:c r="Q10" s="126"/>
      <x:c r="R10" s="127"/>
    </x:row>
    <x:row r="11" ht="2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0" customHeight="1">
      <x:c r="A44" s="156" t="str">
        <x:v>RETENTION OPPORTUNITY</x:v>
      </x:c>
      <x:c r="B44" s="156"/>
      <x:c r="C44" s="156"/>
      <x:c r="D44" s="156"/>
      <x:c r="E44" s="156"/>
      <x:c r="F44" s="156"/>
      <x:c r="G44" s="156"/>
      <x:c r="H44" s="156"/>
      <x:c r="I44" s="156"/>
      <x:c r="J44" s="156"/>
      <x:c r="K44" s="156"/>
      <x:c r="L44" s="156"/>
      <x:c r="M44" s="156"/>
      <x:c r="N44" s="156"/>
      <x:c r="O44" s="156"/>
      <x:c r="P44" s="156"/>
      <x:c r="Q44" s="156"/>
      <x:c r="R44" s="156"/>
    </x:row>
    <x:row r="45" ht="20" customHeight="1">
      <x:c r="A45" s="170" t="str">
        <x:v>Test a helpful follow-up for one-time customers against a similar group that receives no campaign. Compare repeat orders and revenue per customer, and expand only if the result improves. Historical data covers Mar 2012–Mar 2015; first and last years are partial, and revenue is before refunds.</x:v>
      </x:c>
      <x:c r="B45" s="171"/>
      <x:c r="C45" s="171"/>
      <x:c r="D45" s="171"/>
      <x:c r="E45" s="171"/>
      <x:c r="F45" s="171"/>
      <x:c r="G45" s="171"/>
      <x:c r="H45" s="171"/>
      <x:c r="I45" s="171"/>
      <x:c r="J45" s="171"/>
      <x:c r="K45" s="171"/>
      <x:c r="L45" s="171"/>
      <x:c r="M45" s="171"/>
      <x:c r="N45" s="171"/>
      <x:c r="O45" s="171"/>
      <x:c r="P45" s="171"/>
      <x:c r="Q45" s="171"/>
      <x:c r="R45" s="172"/>
    </x:row>
    <x:row r="46" ht="20" customHeight="1">
      <x:c r="A46" s="173"/>
      <x:c r="B46" s="174"/>
      <x:c r="C46" s="174"/>
      <x:c r="D46" s="174"/>
      <x:c r="E46" s="174"/>
      <x:c r="F46" s="174"/>
      <x:c r="G46" s="174"/>
      <x:c r="H46" s="174"/>
      <x:c r="I46" s="174"/>
      <x:c r="J46" s="174"/>
      <x:c r="K46" s="174"/>
      <x:c r="L46" s="174"/>
      <x:c r="M46" s="174"/>
      <x:c r="N46" s="174"/>
      <x:c r="O46" s="174"/>
      <x:c r="P46" s="174"/>
      <x:c r="Q46" s="174"/>
      <x:c r="R46" s="175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0" customHeight="1">
      <x:c r="A48" s="177" t="str">
        <x:v>Choose a year in the upper-right filter; KPI cards and monthly charts update. Cohort retention and RFM segment mix summarize the full period.</x:v>
      </x:c>
      <x:c r="B48" s="177"/>
      <x:c r="C48" s="177"/>
      <x:c r="D48" s="177"/>
      <x:c r="E48" s="177"/>
      <x:c r="F48" s="177"/>
      <x:c r="G48" s="177"/>
      <x:c r="H48" s="177"/>
      <x:c r="I48" s="177"/>
      <x:c r="J48" s="177"/>
      <x:c r="K48" s="177"/>
      <x:c r="L48" s="177"/>
      <x:c r="M48" s="177"/>
      <x:c r="N48" s="177"/>
      <x:c r="O48" s="177"/>
      <x:c r="P48" s="177"/>
      <x:c r="Q48" s="177"/>
      <x:c r="R48" s="177"/>
    </x:row>
  </x:sheetData>
  <x:mergeCells>
    <x:mergeCell ref="A1:N2"/>
    <x:mergeCell ref="A3:N3"/>
    <x:mergeCell ref="O3:P3"/>
    <x:mergeCell ref="Q3:R4"/>
    <x:mergeCell ref="O5:R5"/>
    <x:mergeCell ref="A6:C6"/>
    <x:mergeCell ref="A7:C8"/>
    <x:mergeCell ref="D6:F6"/>
    <x:mergeCell ref="D7:F8"/>
    <x:mergeCell ref="G6:I6"/>
    <x:mergeCell ref="G7:I8"/>
    <x:mergeCell ref="J6:L6"/>
    <x:mergeCell ref="J7:L8"/>
    <x:mergeCell ref="M6:O6"/>
    <x:mergeCell ref="M7:O8"/>
    <x:mergeCell ref="P6:R6"/>
    <x:mergeCell ref="P7:R8"/>
    <x:mergeCell ref="A10:I10"/>
    <x:mergeCell ref="J10:R10"/>
    <x:mergeCell ref="A44:R44"/>
    <x:mergeCell ref="A45:R46"/>
    <x:mergeCell ref="A48:R48"/>
  </x:mergeCells>
  <x:dataValidations count="1">
    <x:dataValidation type="list" sqref="Q3">
      <x:formula1>"2012,2013,2014,2015"</x:formula1>
    </x:dataValidation>
  </x:dataValidations>
  <x:pageMargins left="0.7" right="0.7" top="0.75" bottom="0.75" header="0.3" footer="0.3"/>
  <x:drawing xmlns:r="http://schemas.openxmlformats.org/officeDocument/2006/relationships" r:id="R07e35dfe2a31474b"/>
</x:worksheet>
</file>

<file path=xl/worksheets/sheet2.xml><?xml version="1.0" encoding="utf-8"?>
<x:worksheet xmlns:x="http://schemas.openxmlformats.org/spreadsheetml/2006/main">
  <x:sheetPr>
    <x:tabColor rgb="FF21AEB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>
      <x:c r="A1" s="148" t="str">
        <x:v>MONTHLY CUSTOMER COHORT RETENTION</x:v>
      </x:c>
      <x:c r="B1" s="148"/>
      <x:c r="C1" s="148"/>
      <x:c r="D1" s="148"/>
      <x:c r="E1" s="148"/>
      <x:c r="F1" s="148"/>
      <x:c r="G1" s="148"/>
      <x:c r="H1" s="148"/>
    </x:row>
    <x:row r="2">
      <x:c r="A2" s="152" t="str">
        <x:v>Month 0 is the first-order-month baseline. Later cells show the percentage of that cohort ordering in that exact later month; blanks mean not observed in the supplied export.</x:v>
      </x:c>
      <x:c r="B2" s="152"/>
      <x:c r="C2" s="152"/>
      <x:c r="D2" s="152"/>
      <x:c r="E2" s="152"/>
      <x:c r="F2" s="152"/>
      <x:c r="G2" s="152"/>
      <x:c r="H2" s="152"/>
    </x:row>
    <x:row r="4">
      <x:c r="A4" s="153" t="str">
        <x:v>Cohort month</x:v>
      </x:c>
      <x:c r="B4" s="153" t="str">
        <x:v>Cohort size</x:v>
      </x:c>
      <x:c r="C4" s="153" t="str">
        <x:v>Month 0</x:v>
      </x:c>
      <x:c r="D4" s="153" t="str">
        <x:v>Month 1</x:v>
      </x:c>
      <x:c r="E4" s="153" t="str">
        <x:v>Month 2</x:v>
      </x:c>
      <x:c r="F4" s="153" t="str">
        <x:v>Month 3</x:v>
      </x:c>
      <x:c r="G4" s="153" t="str">
        <x:v>Month 4</x:v>
      </x:c>
    </x:row>
    <x:row r="5">
      <x:c r="A5" s="132" t="str">
        <x:v>2012-03</x:v>
      </x:c>
      <x:c r="B5" s="154" t="n">
        <x:v>60</x:v>
      </x:c>
      <x:c r="C5" s="140" t="n">
        <x:v>1</x:v>
      </x:c>
      <x:c r="D5" s="140"/>
      <x:c r="E5" s="140"/>
      <x:c r="F5" s="140"/>
      <x:c r="G5" s="140"/>
    </x:row>
    <x:row r="6">
      <x:c r="A6" s="132" t="str">
        <x:v>2012-04</x:v>
      </x:c>
      <x:c r="B6" s="154" t="n">
        <x:v>99</x:v>
      </x:c>
      <x:c r="C6" s="140" t="n">
        <x:v>1</x:v>
      </x:c>
      <x:c r="D6" s="140"/>
      <x:c r="E6" s="140"/>
      <x:c r="F6" s="140"/>
      <x:c r="G6" s="140"/>
    </x:row>
    <x:row r="7">
      <x:c r="A7" s="132" t="str">
        <x:v>2012-05</x:v>
      </x:c>
      <x:c r="B7" s="154" t="n">
        <x:v>108</x:v>
      </x:c>
      <x:c r="C7" s="140" t="n">
        <x:v>1</x:v>
      </x:c>
      <x:c r="D7" s="140"/>
      <x:c r="E7" s="140"/>
      <x:c r="F7" s="140"/>
      <x:c r="G7" s="140"/>
    </x:row>
    <x:row r="8">
      <x:c r="A8" s="132" t="str">
        <x:v>2012-06</x:v>
      </x:c>
      <x:c r="B8" s="154" t="n">
        <x:v>139</x:v>
      </x:c>
      <x:c r="C8" s="140" t="n">
        <x:v>1</x:v>
      </x:c>
      <x:c r="D8" s="140" t="n">
        <x:v>0.007194244604316547</x:v>
      </x:c>
      <x:c r="E8" s="140"/>
      <x:c r="F8" s="140"/>
      <x:c r="G8" s="140"/>
    </x:row>
    <x:row r="9">
      <x:c r="A9" s="132" t="str">
        <x:v>2012-07</x:v>
      </x:c>
      <x:c r="B9" s="154" t="n">
        <x:v>168</x:v>
      </x:c>
      <x:c r="C9" s="140" t="n">
        <x:v>1</x:v>
      </x:c>
      <x:c r="D9" s="140"/>
      <x:c r="E9" s="140"/>
      <x:c r="F9" s="140"/>
      <x:c r="G9" s="140"/>
    </x:row>
    <x:row r="10">
      <x:c r="A10" s="132" t="str">
        <x:v>2012-08</x:v>
      </x:c>
      <x:c r="B10" s="154" t="n">
        <x:v>227</x:v>
      </x:c>
      <x:c r="C10" s="140" t="n">
        <x:v>1</x:v>
      </x:c>
      <x:c r="D10" s="140" t="n">
        <x:v>0.004405286343612335</x:v>
      </x:c>
      <x:c r="E10" s="140"/>
      <x:c r="F10" s="140"/>
      <x:c r="G10" s="140"/>
    </x:row>
    <x:row r="11">
      <x:c r="A11" s="132" t="str">
        <x:v>2012-09</x:v>
      </x:c>
      <x:c r="B11" s="154" t="n">
        <x:v>286</x:v>
      </x:c>
      <x:c r="C11" s="140" t="n">
        <x:v>1</x:v>
      </x:c>
      <x:c r="D11" s="140" t="n">
        <x:v>0.0034965034965034956</x:v>
      </x:c>
      <x:c r="E11" s="140" t="n">
        <x:v>0.01048951048951049</x:v>
      </x:c>
      <x:c r="F11" s="140"/>
      <x:c r="G11" s="140"/>
    </x:row>
    <x:row r="12">
      <x:c r="A12" s="132" t="str">
        <x:v>2012-10</x:v>
      </x:c>
      <x:c r="B12" s="154" t="n">
        <x:v>368</x:v>
      </x:c>
      <x:c r="C12" s="140" t="n">
        <x:v>1</x:v>
      </x:c>
      <x:c r="D12" s="140" t="n">
        <x:v>0.005434782608695652</x:v>
      </x:c>
      <x:c r="E12" s="140"/>
      <x:c r="F12" s="140"/>
      <x:c r="G12" s="140"/>
    </x:row>
    <x:row r="13">
      <x:c r="A13" s="132" t="str">
        <x:v>2012-11</x:v>
      </x:c>
      <x:c r="B13" s="154" t="n">
        <x:v>612</x:v>
      </x:c>
      <x:c r="C13" s="140" t="n">
        <x:v>1</x:v>
      </x:c>
      <x:c r="D13" s="140" t="n">
        <x:v>0.00326797385620915</x:v>
      </x:c>
      <x:c r="E13" s="140" t="n">
        <x:v>0.001633986928104575</x:v>
      </x:c>
      <x:c r="F13" s="140"/>
      <x:c r="G13" s="140" t="n">
        <x:v>0.001633986928104575</x:v>
      </x:c>
    </x:row>
    <x:row r="14">
      <x:c r="A14" s="132" t="str">
        <x:v>2012-12</x:v>
      </x:c>
      <x:c r="B14" s="154" t="n">
        <x:v>502</x:v>
      </x:c>
      <x:c r="C14" s="140" t="n">
        <x:v>1</x:v>
      </x:c>
      <x:c r="D14" s="140" t="n">
        <x:v>0.00199203187250996</x:v>
      </x:c>
      <x:c r="E14" s="140" t="n">
        <x:v>0.00597609561752988</x:v>
      </x:c>
      <x:c r="F14" s="140"/>
      <x:c r="G14" s="140"/>
    </x:row>
    <x:row r="15">
      <x:c r="A15" s="132" t="str">
        <x:v>2013-01</x:v>
      </x:c>
      <x:c r="B15" s="154" t="n">
        <x:v>387</x:v>
      </x:c>
      <x:c r="C15" s="140" t="n">
        <x:v>1</x:v>
      </x:c>
      <x:c r="D15" s="140" t="n">
        <x:v>0.010335917312661501</x:v>
      </x:c>
      <x:c r="E15" s="140"/>
      <x:c r="F15" s="140" t="n">
        <x:v>0.0025839793281653752</x:v>
      </x:c>
      <x:c r="G15" s="140"/>
    </x:row>
    <x:row r="16">
      <x:c r="A16" s="132" t="str">
        <x:v>2013-02</x:v>
      </x:c>
      <x:c r="B16" s="154" t="n">
        <x:v>489</x:v>
      </x:c>
      <x:c r="C16" s="140" t="n">
        <x:v>1</x:v>
      </x:c>
      <x:c r="D16" s="140" t="n">
        <x:v>0.00408997955010225</x:v>
      </x:c>
      <x:c r="E16" s="140" t="n">
        <x:v>0.0081799591002045</x:v>
      </x:c>
      <x:c r="F16" s="140"/>
      <x:c r="G16" s="140"/>
    </x:row>
    <x:row r="17">
      <x:c r="A17" s="132" t="str">
        <x:v>2013-03</x:v>
      </x:c>
      <x:c r="B17" s="154" t="n">
        <x:v>382</x:v>
      </x:c>
      <x:c r="C17" s="140" t="n">
        <x:v>1</x:v>
      </x:c>
      <x:c r="D17" s="140" t="n">
        <x:v>0.007853403141361256</x:v>
      </x:c>
      <x:c r="E17" s="140" t="n">
        <x:v>0.005235602094240838</x:v>
      </x:c>
      <x:c r="F17" s="140"/>
      <x:c r="G17" s="140"/>
    </x:row>
    <x:row r="18">
      <x:c r="A18" s="132" t="str">
        <x:v>2013-04</x:v>
      </x:c>
      <x:c r="B18" s="154" t="n">
        <x:v>542</x:v>
      </x:c>
      <x:c r="C18" s="140" t="n">
        <x:v>1</x:v>
      </x:c>
      <x:c r="D18" s="140" t="n">
        <x:v>0.001845018450184501</x:v>
      </x:c>
      <x:c r="E18" s="140" t="n">
        <x:v>0.003690036900369003</x:v>
      </x:c>
      <x:c r="F18" s="140"/>
      <x:c r="G18" s="140"/>
    </x:row>
    <x:row r="19">
      <x:c r="A19" s="132" t="str">
        <x:v>2013-05</x:v>
      </x:c>
      <x:c r="B19" s="154" t="n">
        <x:v>564</x:v>
      </x:c>
      <x:c r="C19" s="140" t="n">
        <x:v>1</x:v>
      </x:c>
      <x:c r="D19" s="140" t="n">
        <x:v>0.008865248226950355</x:v>
      </x:c>
      <x:c r="E19" s="140" t="n">
        <x:v>0.005319148936170213</x:v>
      </x:c>
      <x:c r="F19" s="140" t="n">
        <x:v>0.0017730496453900709</x:v>
      </x:c>
      <x:c r="G19" s="140"/>
    </x:row>
    <x:row r="20">
      <x:c r="A20" s="132" t="str">
        <x:v>2013-06</x:v>
      </x:c>
      <x:c r="B20" s="154" t="n">
        <x:v>584</x:v>
      </x:c>
      <x:c r="C20" s="140" t="n">
        <x:v>1</x:v>
      </x:c>
      <x:c r="D20" s="140" t="n">
        <x:v>0.00684931506849315</x:v>
      </x:c>
      <x:c r="E20" s="140" t="n">
        <x:v>0.005136986301369863</x:v>
      </x:c>
      <x:c r="F20" s="140"/>
      <x:c r="G20" s="140"/>
    </x:row>
    <x:row r="21">
      <x:c r="A21" s="132" t="str">
        <x:v>2013-07</x:v>
      </x:c>
      <x:c r="B21" s="154" t="n">
        <x:v>594</x:v>
      </x:c>
      <x:c r="C21" s="140" t="n">
        <x:v>1</x:v>
      </x:c>
      <x:c r="D21" s="140" t="n">
        <x:v>0.008417508417508417</x:v>
      </x:c>
      <x:c r="E21" s="140" t="n">
        <x:v>0.008417508417508417</x:v>
      </x:c>
      <x:c r="F21" s="140" t="n">
        <x:v>0.001683501683501683</x:v>
      </x:c>
      <x:c r="G21" s="140"/>
    </x:row>
    <x:row r="22">
      <x:c r="A22" s="132" t="str">
        <x:v>2013-08</x:v>
      </x:c>
      <x:c r="B22" s="154" t="n">
        <x:v>598</x:v>
      </x:c>
      <x:c r="C22" s="140" t="n">
        <x:v>1</x:v>
      </x:c>
      <x:c r="D22" s="140" t="n">
        <x:v>0.010033444816053512</x:v>
      </x:c>
      <x:c r="E22" s="140" t="n">
        <x:v>0.006688963210702341</x:v>
      </x:c>
      <x:c r="F22" s="140" t="n">
        <x:v>0.001672240802675585</x:v>
      </x:c>
      <x:c r="G22" s="140"/>
    </x:row>
    <x:row r="23">
      <x:c r="A23" s="132" t="str">
        <x:v>2013-09</x:v>
      </x:c>
      <x:c r="B23" s="154" t="n">
        <x:v>616</x:v>
      </x:c>
      <x:c r="C23" s="140" t="n">
        <x:v>1</x:v>
      </x:c>
      <x:c r="D23" s="140" t="n">
        <x:v>0.012987012987012986</x:v>
      </x:c>
      <x:c r="E23" s="140" t="n">
        <x:v>0.0032467532467532465</x:v>
      </x:c>
      <x:c r="F23" s="140" t="n">
        <x:v>0.001623376623376623</x:v>
      </x:c>
      <x:c r="G23" s="140"/>
    </x:row>
    <x:row r="24">
      <x:c r="A24" s="132" t="str">
        <x:v>2013-10</x:v>
      </x:c>
      <x:c r="B24" s="154" t="n">
        <x:v>694</x:v>
      </x:c>
      <x:c r="C24" s="140" t="n">
        <x:v>1</x:v>
      </x:c>
      <x:c r="D24" s="140" t="n">
        <x:v>0.008645533141210375</x:v>
      </x:c>
      <x:c r="E24" s="140" t="n">
        <x:v>0.0014409221902017292</x:v>
      </x:c>
      <x:c r="F24" s="140" t="n">
        <x:v>0.0028818443804034585</x:v>
      </x:c>
      <x:c r="G24" s="140"/>
    </x:row>
    <x:row r="25">
      <x:c r="A25" s="132" t="str">
        <x:v>2013-11</x:v>
      </x:c>
      <x:c r="B25" s="154" t="n">
        <x:v>850</x:v>
      </x:c>
      <x:c r="C25" s="140" t="n">
        <x:v>1</x:v>
      </x:c>
      <x:c r="D25" s="140" t="n">
        <x:v>0.0058823529411764705</x:v>
      </x:c>
      <x:c r="E25" s="140" t="n">
        <x:v>0.0058823529411764705</x:v>
      </x:c>
      <x:c r="F25" s="140" t="n">
        <x:v>0.002352941176470588</x:v>
      </x:c>
      <x:c r="G25" s="140"/>
    </x:row>
    <x:row r="26">
      <x:c r="A26" s="132" t="str">
        <x:v>2013-12</x:v>
      </x:c>
      <x:c r="B26" s="154" t="n">
        <x:v>1037</x:v>
      </x:c>
      <x:c r="C26" s="140" t="n">
        <x:v>1</x:v>
      </x:c>
      <x:c r="D26" s="140" t="n">
        <x:v>0.007714561234329798</x:v>
      </x:c>
      <x:c r="E26" s="140" t="n">
        <x:v>0.0057859209257473485</x:v>
      </x:c>
      <x:c r="F26" s="140" t="n">
        <x:v>0.000964320154291224</x:v>
      </x:c>
      <x:c r="G26" s="140"/>
    </x:row>
    <x:row r="27">
      <x:c r="A27" s="132" t="str">
        <x:v>2014-01</x:v>
      </x:c>
      <x:c r="B27" s="154" t="n">
        <x:v>962</x:v>
      </x:c>
      <x:c r="C27" s="140" t="n">
        <x:v>1</x:v>
      </x:c>
      <x:c r="D27" s="140" t="n">
        <x:v>0.010395010395010396</x:v>
      </x:c>
      <x:c r="E27" s="140" t="n">
        <x:v>0.006237006237006237</x:v>
      </x:c>
      <x:c r="F27" s="140" t="n">
        <x:v>0.004158004158004158</x:v>
      </x:c>
      <x:c r="G27" s="140"/>
    </x:row>
    <x:row r="28">
      <x:c r="A28" s="132" t="str">
        <x:v>2014-02</x:v>
      </x:c>
      <x:c r="B28" s="154" t="n">
        <x:v>999</x:v>
      </x:c>
      <x:c r="C28" s="140" t="n">
        <x:v>1</x:v>
      </x:c>
      <x:c r="D28" s="140" t="n">
        <x:v>0.008008008008008008</x:v>
      </x:c>
      <x:c r="E28" s="140" t="n">
        <x:v>0.009009009009009007</x:v>
      </x:c>
      <x:c r="F28" s="140" t="n">
        <x:v>0.002002002002002001</x:v>
      </x:c>
      <x:c r="G28" s="140"/>
    </x:row>
    <x:row r="29">
      <x:c r="A29" s="132" t="str">
        <x:v>2014-03</x:v>
      </x:c>
      <x:c r="B29" s="154" t="n">
        <x:v>1048</x:v>
      </x:c>
      <x:c r="C29" s="140" t="n">
        <x:v>1</x:v>
      </x:c>
      <x:c r="D29" s="140" t="n">
        <x:v>0.01049618320610687</x:v>
      </x:c>
      <x:c r="E29" s="140" t="n">
        <x:v>0.00381679389312977</x:v>
      </x:c>
      <x:c r="F29" s="140" t="n">
        <x:v>0.001908396946564885</x:v>
      </x:c>
      <x:c r="G29" s="140"/>
    </x:row>
    <x:row r="30">
      <x:c r="A30" s="132" t="str">
        <x:v>2014-04</x:v>
      </x:c>
      <x:c r="B30" s="154" t="n">
        <x:v>1215</x:v>
      </x:c>
      <x:c r="C30" s="140" t="n">
        <x:v>1</x:v>
      </x:c>
      <x:c r="D30" s="140" t="n">
        <x:v>0.018106995884773665</x:v>
      </x:c>
      <x:c r="E30" s="140" t="n">
        <x:v>0.00411522633744856</x:v>
      </x:c>
      <x:c r="F30" s="140"/>
      <x:c r="G30" s="140"/>
    </x:row>
    <x:row r="31">
      <x:c r="A31" s="132" t="str">
        <x:v>2014-05</x:v>
      </x:c>
      <x:c r="B31" s="154" t="n">
        <x:v>1334</x:v>
      </x:c>
      <x:c r="C31" s="140" t="n">
        <x:v>1</x:v>
      </x:c>
      <x:c r="D31" s="140" t="n">
        <x:v>0.007496251874062968</x:v>
      </x:c>
      <x:c r="E31" s="140" t="n">
        <x:v>0.005247376311844079</x:v>
      </x:c>
      <x:c r="F31" s="140" t="n">
        <x:v>0.00224887556221889</x:v>
      </x:c>
      <x:c r="G31" s="140"/>
    </x:row>
    <x:row r="32">
      <x:c r="A32" s="132" t="str">
        <x:v>2014-06</x:v>
      </x:c>
      <x:c r="B32" s="154" t="n">
        <x:v>1219</x:v>
      </x:c>
      <x:c r="C32" s="140" t="n">
        <x:v>1</x:v>
      </x:c>
      <x:c r="D32" s="140" t="n">
        <x:v>0.009023789991796555</x:v>
      </x:c>
      <x:c r="E32" s="140" t="n">
        <x:v>0.004101722723543888</x:v>
      </x:c>
      <x:c r="F32" s="140" t="n">
        <x:v>0.0016406890894175548</x:v>
      </x:c>
      <x:c r="G32" s="140"/>
    </x:row>
    <x:row r="33">
      <x:c r="A33" s="132" t="str">
        <x:v>2014-07</x:v>
      </x:c>
      <x:c r="B33" s="154" t="n">
        <x:v>1260</x:v>
      </x:c>
      <x:c r="C33" s="140" t="n">
        <x:v>1</x:v>
      </x:c>
      <x:c r="D33" s="140" t="n">
        <x:v>0.005555555555555556</x:v>
      </x:c>
      <x:c r="E33" s="140" t="n">
        <x:v>0.009523809523809525</x:v>
      </x:c>
      <x:c r="F33" s="140" t="n">
        <x:v>0.000793650793650793</x:v>
      </x:c>
      <x:c r="G33" s="140"/>
    </x:row>
    <x:row r="34">
      <x:c r="A34" s="132" t="str">
        <x:v>2014-08</x:v>
      </x:c>
      <x:c r="B34" s="154" t="n">
        <x:v>1306</x:v>
      </x:c>
      <x:c r="C34" s="140" t="n">
        <x:v>1</x:v>
      </x:c>
      <x:c r="D34" s="140" t="n">
        <x:v>0.01225114854517611</x:v>
      </x:c>
      <x:c r="E34" s="140" t="n">
        <x:v>0.005359877488514548</x:v>
      </x:c>
      <x:c r="F34" s="140" t="n">
        <x:v>0.0007656967840735069</x:v>
      </x:c>
      <x:c r="G34" s="140"/>
    </x:row>
    <x:row r="35">
      <x:c r="A35" s="132" t="str">
        <x:v>2014-09</x:v>
      </x:c>
      <x:c r="B35" s="154" t="n">
        <x:v>1385</x:v>
      </x:c>
      <x:c r="C35" s="140" t="n">
        <x:v>1</x:v>
      </x:c>
      <x:c r="D35" s="140" t="n">
        <x:v>0.01083032490974729</x:v>
      </x:c>
      <x:c r="E35" s="140" t="n">
        <x:v>0.005776173285198556</x:v>
      </x:c>
      <x:c r="F35" s="140" t="n">
        <x:v>0.002888086642599278</x:v>
      </x:c>
      <x:c r="G35" s="140" t="n">
        <x:v>0.000722021660649819</x:v>
      </x:c>
    </x:row>
    <x:row r="36">
      <x:c r="A36" s="132" t="str">
        <x:v>2014-10</x:v>
      </x:c>
      <x:c r="B36" s="154" t="n">
        <x:v>1580</x:v>
      </x:c>
      <x:c r="C36" s="140" t="n">
        <x:v>1</x:v>
      </x:c>
      <x:c r="D36" s="140" t="n">
        <x:v>0.01139240506329114</x:v>
      </x:c>
      <x:c r="E36" s="140" t="n">
        <x:v>0.006329113924050634</x:v>
      </x:c>
      <x:c r="F36" s="140" t="n">
        <x:v>0.001898734177215189</x:v>
      </x:c>
      <x:c r="G36" s="140"/>
    </x:row>
    <x:row r="37">
      <x:c r="A37" s="132" t="str">
        <x:v>2014-11</x:v>
      </x:c>
      <x:c r="B37" s="154" t="n">
        <x:v>1951</x:v>
      </x:c>
      <x:c r="C37" s="140" t="n">
        <x:v>1</x:v>
      </x:c>
      <x:c r="D37" s="140" t="n">
        <x:v>0.011788826242952332</x:v>
      </x:c>
      <x:c r="E37" s="140" t="n">
        <x:v>0.004100461301896463</x:v>
      </x:c>
      <x:c r="F37" s="140" t="n">
        <x:v>0.002562788313685289</x:v>
      </x:c>
      <x:c r="G37" s="140"/>
    </x:row>
    <x:row r="38">
      <x:c r="A38" s="132" t="str">
        <x:v>2014-12</x:v>
      </x:c>
      <x:c r="B38" s="154" t="n">
        <x:v>2264</x:v>
      </x:c>
      <x:c r="C38" s="140" t="n">
        <x:v>1</x:v>
      </x:c>
      <x:c r="D38" s="140" t="n">
        <x:v>0.011042402826855124</x:v>
      </x:c>
      <x:c r="E38" s="140" t="n">
        <x:v>0.006183745583038869</x:v>
      </x:c>
      <x:c r="F38" s="140" t="n">
        <x:v>0.0017667844522968191</x:v>
      </x:c>
      <x:c r="G38" s="140"/>
    </x:row>
    <x:row r="39">
      <x:c r="A39" s="132" t="str">
        <x:v>2015-01</x:v>
      </x:c>
      <x:c r="B39" s="154" t="n">
        <x:v>2049</x:v>
      </x:c>
      <x:c r="C39" s="140" t="n">
        <x:v>1</x:v>
      </x:c>
      <x:c r="D39" s="140" t="n">
        <x:v>0.014641288433382138</x:v>
      </x:c>
      <x:c r="E39" s="140" t="n">
        <x:v>0.007320644216691069</x:v>
      </x:c>
      <x:c r="F39" s="140"/>
      <x:c r="G39" s="140"/>
    </x:row>
    <x:row r="40">
      <x:c r="A40" s="132" t="str">
        <x:v>2015-02</x:v>
      </x:c>
      <x:c r="B40" s="154" t="n">
        <x:v>2004</x:v>
      </x:c>
      <x:c r="C40" s="140" t="n">
        <x:v>1</x:v>
      </x:c>
      <x:c r="D40" s="140" t="n">
        <x:v>0.007984031936127744</x:v>
      </x:c>
      <x:c r="E40" s="140"/>
      <x:c r="F40" s="140"/>
      <x:c r="G40" s="140"/>
    </x:row>
    <x:row r="41">
      <x:c r="A41" s="132" t="str">
        <x:v>2015-03</x:v>
      </x:c>
      <x:c r="B41" s="154" t="n">
        <x:v>1214</x:v>
      </x:c>
      <x:c r="C41" s="140" t="n">
        <x:v>1</x:v>
      </x:c>
      <x:c r="D41" s="140"/>
      <x:c r="E41" s="140"/>
      <x:c r="F41" s="140"/>
      <x:c r="G41" s="140"/>
    </x:row>
  </x:sheetData>
  <x:mergeCells>
    <x:mergeCell ref="A1:H1"/>
    <x:mergeCell ref="A2:H2"/>
  </x:mergeCells>
  <x:conditionalFormatting sqref="D5:G41">
    <x:cfRule type="colorScale" priority="1">
      <x:colorScale>
        <x:cfvo type="min"/>
        <x:cfvo type="percentile" val="50"/>
        <x:cfvo type="max"/>
        <x:color rgb="FFFFFFFF"/>
        <x:color rgb="FFD7F0F0"/>
        <x:color rgb="FF47BFC1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1AEB0"/>
  </x:sheetPr>
  <x:sheetViews>
    <x:sheetView showGridLines="0" workbookViewId="0"/>
  </x:sheetViews>
  <x:sheetFormatPr defaultRowHeight="15"/>
  <x:cols>
    <x:col min="1" max="1" width="34" hidden="0" customWidth="1"/>
    <x:col min="2" max="2" width="21" hidden="0" customWidth="1"/>
    <x:col min="3" max="3" width="21" hidden="0" customWidth="1"/>
  </x:cols>
  <x:sheetData>
    <x:row r="1">
      <x:c r="A1" s="148" t="str">
        <x:v>RFM CUSTOMER SEGMENTS</x:v>
      </x:c>
      <x:c r="B1" s="148"/>
      <x:c r="C1" s="148"/>
    </x:row>
    <x:row r="2">
      <x:c r="A2" s="149" t="str">
        <x:v>Segment counts from project2_rfm_customers.csv; full dataset period.</x:v>
      </x:c>
      <x:c r="B2" s="149"/>
      <x:c r="C2" s="149"/>
    </x:row>
    <x:row r="4">
      <x:c r="A4" s="130" t="str">
        <x:v>Segment</x:v>
      </x:c>
      <x:c r="B4" s="130" t="str">
        <x:v>Customers</x:v>
      </x:c>
      <x:c r="C4" s="130" t="str">
        <x:v>Share of customers</x:v>
      </x:c>
    </x:row>
    <x:row r="5">
      <x:c r="A5" s="142" t="str">
        <x:v>Lapsed one-time</x:v>
      </x:c>
      <x:c r="B5" s="146" t="n">
        <x:v>15616</x:v>
      </x:c>
      <x:c r="C5" s="145" t="n">
        <x:f>B5/$B$10</x:f>
        <x:v>0.49268046441191315</x:v>
      </x:c>
    </x:row>
    <x:row r="6">
      <x:c r="A6" s="142" t="str">
        <x:v>Recent one-time</x:v>
      </x:c>
      <x:c r="B6" s="146" t="n">
        <x:v>8244</x:v>
      </x:c>
      <x:c r="C6" s="145" t="n">
        <x:f>B6/$B$10</x:f>
        <x:v>0.26009591115598185</x:v>
      </x:c>
    </x:row>
    <x:row r="7">
      <x:c r="A7" s="142" t="str">
        <x:v>High-value recent one-time</x:v>
      </x:c>
      <x:c r="B7" s="146" t="n">
        <x:v>7245</x:v>
      </x:c>
      <x:c r="C7" s="145" t="n">
        <x:f>B7/$B$10</x:f>
        <x:v>0.22857773851590105</x:v>
      </x:c>
    </x:row>
    <x:row r="8">
      <x:c r="A8" s="142" t="str">
        <x:v>High-value active repeat</x:v>
      </x:c>
      <x:c r="B8" s="146" t="n">
        <x:v>348</x:v>
      </x:c>
      <x:c r="C8" s="145" t="n">
        <x:f>B8/$B$10</x:f>
        <x:v>0.010979303382130236</x:v>
      </x:c>
    </x:row>
    <x:row r="9">
      <x:c r="A9" s="142" t="str">
        <x:v>At-risk repeat</x:v>
      </x:c>
      <x:c r="B9" s="146" t="n">
        <x:v>243</x:v>
      </x:c>
      <x:c r="C9" s="145" t="n">
        <x:f>B9/$B$10</x:f>
        <x:v>0.0076665825340737</x:v>
      </x:c>
    </x:row>
    <x:row r="10">
      <x:c r="A10" s="129" t="str">
        <x:v>Total</x:v>
      </x:c>
      <x:c r="B10" s="150" t="n">
        <x:f>SUM(B5:B9)</x:f>
        <x:v>31696</x:v>
      </x:c>
      <x:c r="C10" s="137" t="n">
        <x:f>SUM(C5:C9)</x:f>
        <x:v>1</x:v>
      </x:c>
    </x:row>
    <x:row r="12">
      <x:c r="A12" s="144" t="str">
        <x:v>R = recency, F = order frequency, M = spending. “High-value” means higher observed spending in this dataset; it does not mean profit.</x:v>
      </x:c>
      <x:c r="B12" s="144"/>
      <x:c r="C12" s="144"/>
    </x:row>
    <x:row r="13">
      <x:c r="A13" s="144"/>
      <x:c r="B13" s="144"/>
      <x:c r="C13" s="144"/>
    </x:row>
    <x:row r="14">
      <x:c r="A14" s="144"/>
      <x:c r="B14" s="144"/>
      <x:c r="C14" s="144"/>
    </x:row>
  </x:sheetData>
  <x:mergeCells>
    <x:mergeCell ref="A1:C1"/>
    <x:mergeCell ref="A2:C2"/>
    <x:mergeCell ref="A12:C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5757D"/>
  </x:sheetPr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0" hidden="0" customWidth="1"/>
    <x:col min="22" max="22" width="20" hidden="0" customWidth="1"/>
    <x:col min="24" max="24" width="22" hidden="0" customWidth="1"/>
    <x:col min="25" max="25" width="22" hidden="0" customWidth="1"/>
  </x:cols>
  <x:sheetData>
    <x:row r="1">
      <x:c r="A1" s="131" t="str">
        <x:v>Year</x:v>
      </x:c>
      <x:c r="B1" s="131" t="str">
        <x:v>Sales Revenue (USD)</x:v>
      </x:c>
      <x:c r="C1" s="131" t="str">
        <x:v>Orders</x:v>
      </x:c>
      <x:c r="D1" s="131" t="str">
        <x:v>Customers</x:v>
      </x:c>
      <x:c r="E1" s="131" t="str">
        <x:v>Repeat Customers</x:v>
      </x:c>
      <x:c r="F1" s="131" t="str">
        <x:v>Repeat Rate</x:v>
      </x:c>
      <x:c r="G1" s="131" t="str">
        <x:v>Items Purchased</x:v>
      </x:c>
      <x:c r="I1" s="131" t="str">
        <x:v>Year</x:v>
      </x:c>
      <x:c r="J1" s="131" t="str">
        <x:v>Month #</x:v>
      </x:c>
      <x:c r="K1" s="131" t="str">
        <x:v>Month</x:v>
      </x:c>
      <x:c r="L1" s="131" t="str">
        <x:v>Sales Revenue (USD)</x:v>
      </x:c>
      <x:c r="M1" s="131" t="str">
        <x:v>Orders</x:v>
      </x:c>
      <x:c r="N1" s="131" t="str">
        <x:v>Customers</x:v>
      </x:c>
      <x:c r="O1" s="131" t="str">
        <x:v>Items Purchased</x:v>
      </x:c>
      <x:c r="Q1" s="131" t="str">
        <x:v>Month</x:v>
      </x:c>
      <x:c r="R1" s="131" t="str">
        <x:v>Sales Revenue (USD)</x:v>
      </x:c>
      <x:c r="S1" s="131" t="str">
        <x:v>Month</x:v>
      </x:c>
      <x:c r="T1" s="131" t="str">
        <x:v>Orders</x:v>
      </x:c>
      <x:c r="U1" s="131" t="str">
        <x:v>First Order Month</x:v>
      </x:c>
      <x:c r="V1" s="131" t="str">
        <x:v>Month 1 Retention</x:v>
      </x:c>
      <x:c r="X1" s="131" t="str">
        <x:v>RFM Segment</x:v>
      </x:c>
      <x:c r="Y1" s="131" t="str">
        <x:v>Customers</x:v>
      </x:c>
    </x:row>
    <x:row r="2">
      <x:c r="A2" s="132" t="n">
        <x:v>2012</x:v>
      </x:c>
      <x:c r="B2" s="134" t="n">
        <x:v>129274.14</x:v>
      </x:c>
      <x:c r="C2" s="132" t="n">
        <x:v>2586</x:v>
      </x:c>
      <x:c r="D2" s="132" t="n">
        <x:v>2569</x:v>
      </x:c>
      <x:c r="E2" s="132" t="n">
        <x:v>16</x:v>
      </x:c>
      <x:c r="F2" s="136" t="n">
        <x:v>0.006228104320747372</x:v>
      </x:c>
      <x:c r="G2" s="132" t="n">
        <x:v>2586</x:v>
      </x:c>
      <x:c r="I2" s="132" t="n">
        <x:v>2012</x:v>
      </x:c>
      <x:c r="J2" s="132" t="n">
        <x:v>3</x:v>
      </x:c>
      <x:c r="K2" s="132" t="str">
        <x:v>2012-03</x:v>
      </x:c>
      <x:c r="L2" s="134" t="n">
        <x:v>2999.4</x:v>
      </x:c>
      <x:c r="M2" s="132" t="n">
        <x:v>60</x:v>
      </x:c>
      <x:c r="N2" s="132" t="n">
        <x:v>60</x:v>
      </x:c>
      <x:c r="O2" s="132" t="n">
        <x:v>60</x:v>
      </x:c>
      <x:c r="Q2" t="str">
        <x:v>Jan</x:v>
      </x:c>
      <x:c r="R2" s="138" t="n">
        <x:f>IF(COUNTIFS($I$2:$I$38,'Dashboard'!$Q$3,$J$2:$J$38,ROWS($Q$2:Q2))=0,"",SUMIFS($L$2:$L$38,$I$2:$I$38,'Dashboard'!$Q$3,$J$2:$J$38,ROWS($Q$2:Q2)))</x:f>
        <x:v>56568.89</x:v>
      </x:c>
      <x:c r="S2" t="str">
        <x:v>Jan</x:v>
      </x:c>
      <x:c r="T2" s="139" t="n">
        <x:f>IF(COUNTIFS($I$2:$I$38,'Dashboard'!$Q$3,$J$2:$J$38,ROWS($Q$2:Q2))=0,"",SUMIFS($M$2:$M$38,$I$2:$I$38,'Dashboard'!$Q$3,$J$2:$J$38,ROWS($S$2:S2)))</x:f>
        <x:v>982</x:v>
      </x:c>
      <x:c r="U2" s="132" t="str">
        <x:v>2012-03</x:v>
      </x:c>
      <x:c r="V2" s="140"/>
      <x:c r="X2" s="132" t="str">
        <x:v>Lapsed 1-time</x:v>
      </x:c>
      <x:c r="Y2" s="132" t="n">
        <x:v>15616</x:v>
      </x:c>
    </x:row>
    <x:row r="3">
      <x:c r="A3" s="132" t="n">
        <x:v>2013</x:v>
      </x:c>
      <x:c r="B3" s="134" t="n">
        <x:v>393247.87</x:v>
      </x:c>
      <x:c r="C3" s="132" t="n">
        <x:v>7447</x:v>
      </x:c>
      <x:c r="D3" s="132" t="n">
        <x:v>7343</x:v>
      </x:c>
      <x:c r="E3" s="132" t="n">
        <x:v>98</x:v>
      </x:c>
      <x:c r="F3" s="136" t="n">
        <x:v>0.01334604385128694</x:v>
      </x:c>
      <x:c r="G3" s="132" t="n">
        <x:v>7613</x:v>
      </x:c>
      <x:c r="I3" s="132" t="n">
        <x:v>2012</x:v>
      </x:c>
      <x:c r="J3" s="132" t="n">
        <x:v>4</x:v>
      </x:c>
      <x:c r="K3" s="132" t="str">
        <x:v>2012-04</x:v>
      </x:c>
      <x:c r="L3" s="134" t="n">
        <x:v>4949.01</x:v>
      </x:c>
      <x:c r="M3" s="132" t="n">
        <x:v>99</x:v>
      </x:c>
      <x:c r="N3" s="132" t="n">
        <x:v>99</x:v>
      </x:c>
      <x:c r="O3" s="132" t="n">
        <x:v>99</x:v>
      </x:c>
      <x:c r="Q3" t="str">
        <x:v>Feb</x:v>
      </x:c>
      <x:c r="R3" s="138" t="n">
        <x:f>IF(COUNTIFS($I$2:$I$38,'Dashboard'!$Q$3,$J$2:$J$38,ROWS($Q$2:Q3))=0,"",SUMIFS($L$2:$L$38,$I$2:$I$38,'Dashboard'!$Q$3,$J$2:$J$38,ROWS($Q$2:Q3)))</x:f>
        <x:v>66012.52</x:v>
      </x:c>
      <x:c r="S3" t="str">
        <x:v>Feb</x:v>
      </x:c>
      <x:c r="T3" s="139" t="n">
        <x:f>IF(COUNTIFS($I$2:$I$38,'Dashboard'!$Q$3,$J$2:$J$38,ROWS($Q$2:Q3))=0,"",SUMIFS($M$2:$M$38,$I$2:$I$38,'Dashboard'!$Q$3,$J$2:$J$38,ROWS($S$2:S3)))</x:f>
        <x:v>1021</x:v>
      </x:c>
      <x:c r="U3" s="132" t="str">
        <x:v>2012-04</x:v>
      </x:c>
      <x:c r="V3" s="140"/>
      <x:c r="X3" s="132" t="str">
        <x:v>Recent 1-time</x:v>
      </x:c>
      <x:c r="Y3" s="132" t="n">
        <x:v>8244</x:v>
      </x:c>
    </x:row>
    <x:row r="4">
      <x:c r="A4" s="132" t="n">
        <x:v>2014</x:v>
      </x:c>
      <x:c r="B4" s="134" t="n">
        <x:v>1075612.19</x:v>
      </x:c>
      <x:c r="C4" s="132" t="n">
        <x:v>16860</x:v>
      </x:c>
      <x:c r="D4" s="132" t="n">
        <x:v>16547</x:v>
      </x:c>
      <x:c r="E4" s="132" t="n">
        <x:v>304</x:v>
      </x:c>
      <x:c r="F4" s="136" t="n">
        <x:v>0.018371910316069377</x:v>
      </x:c>
      <x:c r="G4" s="132" t="n">
        <x:v>22581</x:v>
      </x:c>
      <x:c r="I4" s="132" t="n">
        <x:v>2012</x:v>
      </x:c>
      <x:c r="J4" s="132" t="n">
        <x:v>5</x:v>
      </x:c>
      <x:c r="K4" s="132" t="str">
        <x:v>2012-05</x:v>
      </x:c>
      <x:c r="L4" s="134" t="n">
        <x:v>5398.92</x:v>
      </x:c>
      <x:c r="M4" s="132" t="n">
        <x:v>108</x:v>
      </x:c>
      <x:c r="N4" s="132" t="n">
        <x:v>108</x:v>
      </x:c>
      <x:c r="O4" s="132" t="n">
        <x:v>108</x:v>
      </x:c>
      <x:c r="Q4" t="str">
        <x:v>Mar</x:v>
      </x:c>
      <x:c r="R4" s="138" t="n">
        <x:f>IF(COUNTIFS($I$2:$I$38,'Dashboard'!$Q$3,$J$2:$J$38,ROWS($Q$2:Q4))=0,"",SUMIFS($L$2:$L$38,$I$2:$I$38,'Dashboard'!$Q$3,$J$2:$J$38,ROWS($Q$2:Q4)))</x:f>
        <x:v>68189.73</x:v>
      </x:c>
      <x:c r="S4" t="str">
        <x:v>Mar</x:v>
      </x:c>
      <x:c r="T4" s="139" t="n">
        <x:f>IF(COUNTIFS($I$2:$I$38,'Dashboard'!$Q$3,$J$2:$J$38,ROWS($Q$2:Q4))=0,"",SUMIFS($M$2:$M$38,$I$2:$I$38,'Dashboard'!$Q$3,$J$2:$J$38,ROWS($S$2:S4)))</x:f>
        <x:v>1066</x:v>
      </x:c>
      <x:c r="U4" s="132" t="str">
        <x:v>2012-05</x:v>
      </x:c>
      <x:c r="V4" s="140"/>
      <x:c r="X4" s="132" t="str">
        <x:v>High-value 1-time</x:v>
      </x:c>
      <x:c r="Y4" s="132" t="n">
        <x:v>7245</x:v>
      </x:c>
    </x:row>
    <x:row r="5">
      <x:c r="A5" s="132" t="n">
        <x:v>2015</x:v>
      </x:c>
      <x:c r="B5" s="134" t="n">
        <x:v>340375.55</x:v>
      </x:c>
      <x:c r="C5" s="132" t="n">
        <x:v>5420</x:v>
      </x:c>
      <x:c r="D5" s="132" t="n">
        <x:v>5327</x:v>
      </x:c>
      <x:c r="E5" s="132" t="n">
        <x:v>88</x:v>
      </x:c>
      <x:c r="F5" s="136" t="n">
        <x:v>0.016519617045241224</x:v>
      </x:c>
      <x:c r="G5" s="132" t="n">
        <x:v>7245</x:v>
      </x:c>
      <x:c r="I5" s="132" t="n">
        <x:v>2012</x:v>
      </x:c>
      <x:c r="J5" s="132" t="n">
        <x:v>6</x:v>
      </x:c>
      <x:c r="K5" s="132" t="str">
        <x:v>2012-06</x:v>
      </x:c>
      <x:c r="L5" s="134" t="n">
        <x:v>6998.6</x:v>
      </x:c>
      <x:c r="M5" s="132" t="n">
        <x:v>140</x:v>
      </x:c>
      <x:c r="N5" s="132" t="n">
        <x:v>139</x:v>
      </x:c>
      <x:c r="O5" s="132" t="n">
        <x:v>140</x:v>
      </x:c>
      <x:c r="Q5" t="str">
        <x:v>Apr</x:v>
      </x:c>
      <x:c r="R5" s="138" t="n">
        <x:f>IF(COUNTIFS($I$2:$I$38,'Dashboard'!$Q$3,$J$2:$J$38,ROWS($Q$2:Q5))=0,"",SUMIFS($L$2:$L$38,$I$2:$I$38,'Dashboard'!$Q$3,$J$2:$J$38,ROWS($Q$2:Q5)))</x:f>
        <x:v>78725.43</x:v>
      </x:c>
      <x:c r="S5" t="str">
        <x:v>Apr</x:v>
      </x:c>
      <x:c r="T5" s="139" t="n">
        <x:f>IF(COUNTIFS($I$2:$I$38,'Dashboard'!$Q$3,$J$2:$J$38,ROWS($Q$2:Q5))=0,"",SUMIFS($M$2:$M$38,$I$2:$I$38,'Dashboard'!$Q$3,$J$2:$J$38,ROWS($S$2:S5)))</x:f>
        <x:v>1241</x:v>
      </x:c>
      <x:c r="U5" s="132" t="str">
        <x:v>2012-06</x:v>
      </x:c>
      <x:c r="V5" s="140" t="n">
        <x:v>0.007194244604316547</x:v>
      </x:c>
      <x:c r="X5" s="132" t="str">
        <x:v>High-value repeat</x:v>
      </x:c>
      <x:c r="Y5" s="132" t="n">
        <x:v>348</x:v>
      </x:c>
    </x:row>
    <x:row r="6">
      <x:c r="A6" s="129" t="str">
        <x:v>All years</x:v>
      </x:c>
      <x:c r="B6" s="135" t="n">
        <x:v>1938509.75</x:v>
      </x:c>
      <x:c r="C6" s="129" t="n">
        <x:v>32313</x:v>
      </x:c>
      <x:c r="D6" s="129" t="n">
        <x:v>31696</x:v>
      </x:c>
      <x:c r="E6" s="129" t="n">
        <x:v>591</x:v>
      </x:c>
      <x:c r="F6" s="137" t="n">
        <x:v>0.018645885916203937</x:v>
      </x:c>
      <x:c r="G6" s="129" t="n">
        <x:v>40025</x:v>
      </x:c>
      <x:c r="I6" s="132" t="n">
        <x:v>2012</x:v>
      </x:c>
      <x:c r="J6" s="132" t="n">
        <x:v>7</x:v>
      </x:c>
      <x:c r="K6" s="132" t="str">
        <x:v>2012-07</x:v>
      </x:c>
      <x:c r="L6" s="134" t="n">
        <x:v>8448.31</x:v>
      </x:c>
      <x:c r="M6" s="132" t="n">
        <x:v>169</x:v>
      </x:c>
      <x:c r="N6" s="132" t="n">
        <x:v>169</x:v>
      </x:c>
      <x:c r="O6" s="132" t="n">
        <x:v>169</x:v>
      </x:c>
      <x:c r="Q6" t="str">
        <x:v>May</x:v>
      </x:c>
      <x:c r="R6" s="138" t="n">
        <x:f>IF(COUNTIFS($I$2:$I$38,'Dashboard'!$Q$3,$J$2:$J$38,ROWS($Q$2:Q6))=0,"",SUMIFS($L$2:$L$38,$I$2:$I$38,'Dashboard'!$Q$3,$J$2:$J$38,ROWS($Q$2:Q6)))</x:f>
        <x:v>88935.27</x:v>
      </x:c>
      <x:c r="S6" t="str">
        <x:v>May</x:v>
      </x:c>
      <x:c r="T6" s="139" t="n">
        <x:f>IF(COUNTIFS($I$2:$I$38,'Dashboard'!$Q$3,$J$2:$J$38,ROWS($Q$2:Q6))=0,"",SUMIFS($M$2:$M$38,$I$2:$I$38,'Dashboard'!$Q$3,$J$2:$J$38,ROWS($S$2:S6)))</x:f>
        <x:v>1368</x:v>
      </x:c>
      <x:c r="U6" s="132" t="str">
        <x:v>2012-07</x:v>
      </x:c>
      <x:c r="V6" s="140"/>
      <x:c r="X6" s="132" t="str">
        <x:v>At-risk repeat</x:v>
      </x:c>
      <x:c r="Y6" s="132" t="n">
        <x:v>243</x:v>
      </x:c>
    </x:row>
    <x:row r="7">
      <x:c r="I7" s="132" t="n">
        <x:v>2012</x:v>
      </x:c>
      <x:c r="J7" s="132" t="n">
        <x:v>8</x:v>
      </x:c>
      <x:c r="K7" s="132" t="str">
        <x:v>2012-08</x:v>
      </x:c>
      <x:c r="L7" s="134" t="n">
        <x:v>11397.72</x:v>
      </x:c>
      <x:c r="M7" s="132" t="n">
        <x:v>228</x:v>
      </x:c>
      <x:c r="N7" s="132" t="n">
        <x:v>227</x:v>
      </x:c>
      <x:c r="O7" s="132" t="n">
        <x:v>228</x:v>
      </x:c>
      <x:c r="Q7" t="str">
        <x:v>Jun</x:v>
      </x:c>
      <x:c r="R7" s="138" t="n">
        <x:f>IF(COUNTIFS($I$2:$I$38,'Dashboard'!$Q$3,$J$2:$J$38,ROWS($Q$2:Q7))=0,"",SUMIFS($L$2:$L$38,$I$2:$I$38,'Dashboard'!$Q$3,$J$2:$J$38,ROWS($Q$2:Q7)))</x:f>
        <x:v>80051.25</x:v>
      </x:c>
      <x:c r="S7" t="str">
        <x:v>Jun</x:v>
      </x:c>
      <x:c r="T7" s="139" t="n">
        <x:f>IF(COUNTIFS($I$2:$I$38,'Dashboard'!$Q$3,$J$2:$J$38,ROWS($Q$2:Q7))=0,"",SUMIFS($M$2:$M$38,$I$2:$I$38,'Dashboard'!$Q$3,$J$2:$J$38,ROWS($S$2:S7)))</x:f>
        <x:v>1239</x:v>
      </x:c>
      <x:c r="U7" s="132" t="str">
        <x:v>2012-08</x:v>
      </x:c>
      <x:c r="V7" s="140" t="n">
        <x:v>0.004405286343612335</x:v>
      </x:c>
    </x:row>
    <x:row r="8">
      <x:c r="I8" s="132" t="n">
        <x:v>2012</x:v>
      </x:c>
      <x:c r="J8" s="132" t="n">
        <x:v>9</x:v>
      </x:c>
      <x:c r="K8" s="132" t="str">
        <x:v>2012-09</x:v>
      </x:c>
      <x:c r="L8" s="134" t="n">
        <x:v>14347.13</x:v>
      </x:c>
      <x:c r="M8" s="132" t="n">
        <x:v>287</x:v>
      </x:c>
      <x:c r="N8" s="132" t="n">
        <x:v>287</x:v>
      </x:c>
      <x:c r="O8" s="132" t="n">
        <x:v>287</x:v>
      </x:c>
      <x:c r="Q8" t="str">
        <x:v>Jul</x:v>
      </x:c>
      <x:c r="R8" s="138" t="n">
        <x:f>IF(COUNTIFS($I$2:$I$38,'Dashboard'!$Q$3,$J$2:$J$38,ROWS($Q$2:Q8))=0,"",SUMIFS($L$2:$L$38,$I$2:$I$38,'Dashboard'!$Q$3,$J$2:$J$38,ROWS($Q$2:Q8)))</x:f>
        <x:v>83288.55</x:v>
      </x:c>
      <x:c r="S8" t="str">
        <x:v>Jul</x:v>
      </x:c>
      <x:c r="T8" s="139" t="n">
        <x:f>IF(COUNTIFS($I$2:$I$38,'Dashboard'!$Q$3,$J$2:$J$38,ROWS($Q$2:Q8))=0,"",SUMIFS($M$2:$M$38,$I$2:$I$38,'Dashboard'!$Q$3,$J$2:$J$38,ROWS($S$2:S8)))</x:f>
        <x:v>1286</x:v>
      </x:c>
      <x:c r="U8" s="132" t="str">
        <x:v>2012-09</x:v>
      </x:c>
      <x:c r="V8" s="140" t="n">
        <x:v>0.0034965034965034956</x:v>
      </x:c>
    </x:row>
    <x:row r="9">
      <x:c r="A9" s="144" t="str">
        <x:v>Source: Maven Fuzzy Factory orders.csv. Sales revenue uses order price before refunds; 2012 and 2015 are partial years.</x:v>
      </x:c>
      <x:c r="B9" s="144"/>
      <x:c r="C9" s="144"/>
      <x:c r="D9" s="144"/>
      <x:c r="E9" s="144"/>
      <x:c r="F9" s="144"/>
      <x:c r="G9" s="144"/>
      <x:c r="I9" s="132" t="n">
        <x:v>2012</x:v>
      </x:c>
      <x:c r="J9" s="132" t="n">
        <x:v>10</x:v>
      </x:c>
      <x:c r="K9" s="132" t="str">
        <x:v>2012-10</x:v>
      </x:c>
      <x:c r="L9" s="134" t="n">
        <x:v>18546.29</x:v>
      </x:c>
      <x:c r="M9" s="132" t="n">
        <x:v>371</x:v>
      </x:c>
      <x:c r="N9" s="132" t="n">
        <x:v>369</x:v>
      </x:c>
      <x:c r="O9" s="132" t="n">
        <x:v>371</x:v>
      </x:c>
      <x:c r="Q9" t="str">
        <x:v>Aug</x:v>
      </x:c>
      <x:c r="R9" s="138" t="n">
        <x:f>IF(COUNTIFS($I$2:$I$38,'Dashboard'!$Q$3,$J$2:$J$38,ROWS($Q$2:Q9))=0,"",SUMIFS($L$2:$L$38,$I$2:$I$38,'Dashboard'!$Q$3,$J$2:$J$38,ROWS($Q$2:Q9)))</x:f>
        <x:v>84716.08</x:v>
      </x:c>
      <x:c r="S9" t="str">
        <x:v>Aug</x:v>
      </x:c>
      <x:c r="T9" s="139" t="n">
        <x:f>IF(COUNTIFS($I$2:$I$38,'Dashboard'!$Q$3,$J$2:$J$38,ROWS($Q$2:Q9))=0,"",SUMIFS($M$2:$M$38,$I$2:$I$38,'Dashboard'!$Q$3,$J$2:$J$38,ROWS($S$2:S9)))</x:f>
        <x:v>1325</x:v>
      </x:c>
      <x:c r="U9" s="132" t="str">
        <x:v>2012-10</x:v>
      </x:c>
      <x:c r="V9" s="140" t="n">
        <x:v>0.005434782608695652</x:v>
      </x:c>
    </x:row>
    <x:row r="10">
      <x:c r="A10" s="144"/>
      <x:c r="B10" s="144"/>
      <x:c r="C10" s="144"/>
      <x:c r="D10" s="144"/>
      <x:c r="E10" s="144"/>
      <x:c r="F10" s="144"/>
      <x:c r="G10" s="144"/>
      <x:c r="I10" s="132" t="n">
        <x:v>2012</x:v>
      </x:c>
      <x:c r="J10" s="132" t="n">
        <x:v>11</x:v>
      </x:c>
      <x:c r="K10" s="132" t="str">
        <x:v>2012-11</x:v>
      </x:c>
      <x:c r="L10" s="134" t="n">
        <x:v>30893.82</x:v>
      </x:c>
      <x:c r="M10" s="132" t="n">
        <x:v>618</x:v>
      </x:c>
      <x:c r="N10" s="132" t="n">
        <x:v>617</x:v>
      </x:c>
      <x:c r="O10" s="132" t="n">
        <x:v>618</x:v>
      </x:c>
      <x:c r="Q10" t="str">
        <x:v>Sep</x:v>
      </x:c>
      <x:c r="R10" s="138" t="n">
        <x:f>IF(COUNTIFS($I$2:$I$38,'Dashboard'!$Q$3,$J$2:$J$38,ROWS($Q$2:Q10))=0,"",SUMIFS($L$2:$L$38,$I$2:$I$38,'Dashboard'!$Q$3,$J$2:$J$38,ROWS($Q$2:Q10)))</x:f>
        <x:v>92232.49</x:v>
      </x:c>
      <x:c r="S10" t="str">
        <x:v>Sep</x:v>
      </x:c>
      <x:c r="T10" s="139" t="n">
        <x:f>IF(COUNTIFS($I$2:$I$38,'Dashboard'!$Q$3,$J$2:$J$38,ROWS($Q$2:Q10))=0,"",SUMIFS($M$2:$M$38,$I$2:$I$38,'Dashboard'!$Q$3,$J$2:$J$38,ROWS($S$2:S10)))</x:f>
        <x:v>1424</x:v>
      </x:c>
      <x:c r="U10" s="132" t="str">
        <x:v>2012-11</x:v>
      </x:c>
      <x:c r="V10" s="140" t="n">
        <x:v>0.00326797385620915</x:v>
      </x:c>
    </x:row>
    <x:row r="11">
      <x:c r="I11" s="132" t="n">
        <x:v>2012</x:v>
      </x:c>
      <x:c r="J11" s="132" t="n">
        <x:v>12</x:v>
      </x:c>
      <x:c r="K11" s="132" t="str">
        <x:v>2012-12</x:v>
      </x:c>
      <x:c r="L11" s="134" t="n">
        <x:v>25294.94</x:v>
      </x:c>
      <x:c r="M11" s="132" t="n">
        <x:v>506</x:v>
      </x:c>
      <x:c r="N11" s="132" t="n">
        <x:v>504</x:v>
      </x:c>
      <x:c r="O11" s="132" t="n">
        <x:v>506</x:v>
      </x:c>
      <x:c r="Q11" t="str">
        <x:v>Oct</x:v>
      </x:c>
      <x:c r="R11" s="138" t="n">
        <x:f>IF(COUNTIFS($I$2:$I$38,'Dashboard'!$Q$3,$J$2:$J$38,ROWS($Q$2:Q11))=0,"",SUMIFS($L$2:$L$38,$I$2:$I$38,'Dashboard'!$Q$3,$J$2:$J$38,ROWS($Q$2:Q11)))</x:f>
        <x:v>103905.98</x:v>
      </x:c>
      <x:c r="S11" t="str">
        <x:v>Oct</x:v>
      </x:c>
      <x:c r="T11" s="139" t="n">
        <x:f>IF(COUNTIFS($I$2:$I$38,'Dashboard'!$Q$3,$J$2:$J$38,ROWS($Q$2:Q11))=0,"",SUMIFS($M$2:$M$38,$I$2:$I$38,'Dashboard'!$Q$3,$J$2:$J$38,ROWS($S$2:S11)))</x:f>
        <x:v>1609</x:v>
      </x:c>
      <x:c r="U11" s="132" t="str">
        <x:v>2012-12</x:v>
      </x:c>
      <x:c r="V11" s="140" t="n">
        <x:v>0.00199203187250996</x:v>
      </x:c>
    </x:row>
    <x:row r="12">
      <x:c r="I12" s="132" t="n">
        <x:v>2013</x:v>
      </x:c>
      <x:c r="J12" s="132" t="n">
        <x:v>1</x:v>
      </x:c>
      <x:c r="K12" s="132" t="str">
        <x:v>2013-01</x:v>
      </x:c>
      <x:c r="L12" s="134" t="n">
        <x:v>19966.1</x:v>
      </x:c>
      <x:c r="M12" s="132" t="n">
        <x:v>390</x:v>
      </x:c>
      <x:c r="N12" s="132" t="n">
        <x:v>389</x:v>
      </x:c>
      <x:c r="O12" s="132" t="n">
        <x:v>390</x:v>
      </x:c>
      <x:c r="Q12" t="str">
        <x:v>Nov</x:v>
      </x:c>
      <x:c r="R12" s="138" t="n">
        <x:f>IF(COUNTIFS($I$2:$I$38,'Dashboard'!$Q$3,$J$2:$J$38,ROWS($Q$2:Q12))=0,"",SUMIFS($L$2:$L$38,$I$2:$I$38,'Dashboard'!$Q$3,$J$2:$J$38,ROWS($Q$2:Q12)))</x:f>
        <x:v>128162.98</x:v>
      </x:c>
      <x:c r="S12" t="str">
        <x:v>Nov</x:v>
      </x:c>
      <x:c r="T12" s="139" t="n">
        <x:f>IF(COUNTIFS($I$2:$I$38,'Dashboard'!$Q$3,$J$2:$J$38,ROWS($Q$2:Q12))=0,"",SUMIFS($M$2:$M$38,$I$2:$I$38,'Dashboard'!$Q$3,$J$2:$J$38,ROWS($S$2:S12)))</x:f>
        <x:v>1985</x:v>
      </x:c>
      <x:c r="U12" s="132" t="str">
        <x:v>2013-01</x:v>
      </x:c>
      <x:c r="V12" s="140" t="n">
        <x:v>0.010335917312661501</x:v>
      </x:c>
    </x:row>
    <x:row r="13">
      <x:c r="I13" s="132" t="n">
        <x:v>2013</x:v>
      </x:c>
      <x:c r="J13" s="132" t="n">
        <x:v>2</x:v>
      </x:c>
      <x:c r="K13" s="132" t="str">
        <x:v>2013-02</x:v>
      </x:c>
      <x:c r="L13" s="134" t="n">
        <x:v>26515.02</x:v>
      </x:c>
      <x:c r="M13" s="132" t="n">
        <x:v>498</x:v>
      </x:c>
      <x:c r="N13" s="132" t="n">
        <x:v>496</x:v>
      </x:c>
      <x:c r="O13" s="132" t="n">
        <x:v>498</x:v>
      </x:c>
      <x:c r="Q13" t="str">
        <x:v>Dec</x:v>
      </x:c>
      <x:c r="R13" s="138" t="n">
        <x:f>IF(COUNTIFS($I$2:$I$38,'Dashboard'!$Q$3,$J$2:$J$38,ROWS($Q$2:Q13))=0,"",SUMIFS($L$2:$L$38,$I$2:$I$38,'Dashboard'!$Q$3,$J$2:$J$38,ROWS($Q$2:Q13)))</x:f>
        <x:v>144823.02</x:v>
      </x:c>
      <x:c r="S13" t="str">
        <x:v>Dec</x:v>
      </x:c>
      <x:c r="T13" s="139" t="n">
        <x:f>IF(COUNTIFS($I$2:$I$38,'Dashboard'!$Q$3,$J$2:$J$38,ROWS($Q$2:Q13))=0,"",SUMIFS($M$2:$M$38,$I$2:$I$38,'Dashboard'!$Q$3,$J$2:$J$38,ROWS($S$2:S13)))</x:f>
        <x:v>2314</x:v>
      </x:c>
      <x:c r="U13" s="132" t="str">
        <x:v>2013-02</x:v>
      </x:c>
      <x:c r="V13" s="140" t="n">
        <x:v>0.00408997955010225</x:v>
      </x:c>
    </x:row>
    <x:row r="14">
      <x:c r="I14" s="132" t="n">
        <x:v>2013</x:v>
      </x:c>
      <x:c r="J14" s="132" t="n">
        <x:v>3</x:v>
      </x:c>
      <x:c r="K14" s="132" t="str">
        <x:v>2013-03</x:v>
      </x:c>
      <x:c r="L14" s="134" t="n">
        <x:v>19896.15</x:v>
      </x:c>
      <x:c r="M14" s="132" t="n">
        <x:v>385</x:v>
      </x:c>
      <x:c r="N14" s="132" t="n">
        <x:v>385</x:v>
      </x:c>
      <x:c r="O14" s="132" t="n">
        <x:v>385</x:v>
      </x:c>
      <x:c r="U14" s="132" t="str">
        <x:v>2013-03</x:v>
      </x:c>
      <x:c r="V14" s="140" t="n">
        <x:v>0.007853403141361256</x:v>
      </x:c>
    </x:row>
    <x:row r="15">
      <x:c r="I15" s="132" t="n">
        <x:v>2013</x:v>
      </x:c>
      <x:c r="J15" s="132" t="n">
        <x:v>4</x:v>
      </x:c>
      <x:c r="K15" s="132" t="str">
        <x:v>2013-04</x:v>
      </x:c>
      <x:c r="L15" s="134" t="n">
        <x:v>28584.47</x:v>
      </x:c>
      <x:c r="M15" s="132" t="n">
        <x:v>553</x:v>
      </x:c>
      <x:c r="N15" s="132" t="n">
        <x:v>550</x:v>
      </x:c>
      <x:c r="O15" s="132" t="n">
        <x:v>553</x:v>
      </x:c>
      <x:c r="U15" s="132" t="str">
        <x:v>2013-04</x:v>
      </x:c>
      <x:c r="V15" s="140" t="n">
        <x:v>0.001845018450184501</x:v>
      </x:c>
    </x:row>
    <x:row r="16">
      <x:c r="I16" s="132" t="n">
        <x:v>2013</x:v>
      </x:c>
      <x:c r="J16" s="132" t="n">
        <x:v>5</x:v>
      </x:c>
      <x:c r="K16" s="132" t="str">
        <x:v>2013-05</x:v>
      </x:c>
      <x:c r="L16" s="134" t="n">
        <x:v>29364.29</x:v>
      </x:c>
      <x:c r="M16" s="132" t="n">
        <x:v>571</x:v>
      </x:c>
      <x:c r="N16" s="132" t="n">
        <x:v>567</x:v>
      </x:c>
      <x:c r="O16" s="132" t="n">
        <x:v>571</x:v>
      </x:c>
      <x:c r="Q16" s="129" t="str">
        <x:v>Retention Summary</x:v>
      </x:c>
      <x:c r="R16" s="129" t="str">
        <x:v>Value</x:v>
      </x:c>
      <x:c r="U16" s="132" t="str">
        <x:v>2013-05</x:v>
      </x:c>
      <x:c r="V16" s="140" t="n">
        <x:v>0.008865248226950355</x:v>
      </x:c>
    </x:row>
    <x:row r="17">
      <x:c r="I17" s="132" t="n">
        <x:v>2013</x:v>
      </x:c>
      <x:c r="J17" s="132" t="n">
        <x:v>6</x:v>
      </x:c>
      <x:c r="K17" s="132" t="str">
        <x:v>2013-06</x:v>
      </x:c>
      <x:c r="L17" s="134" t="n">
        <x:v>30544.07</x:v>
      </x:c>
      <x:c r="M17" s="132" t="n">
        <x:v>593</x:v>
      </x:c>
      <x:c r="N17" s="132" t="n">
        <x:v>591</x:v>
      </x:c>
      <x:c r="O17" s="132" t="n">
        <x:v>593</x:v>
      </x:c>
      <x:c r="Q17" s="142" t="str">
        <x:v>Weighted Month 1 Retention</x:v>
      </x:c>
      <x:c r="R17" s="145" t="n">
        <x:v>0.009551702333011615</x:v>
      </x:c>
      <x:c r="U17" s="132" t="str">
        <x:v>2013-06</x:v>
      </x:c>
      <x:c r="V17" s="140" t="n">
        <x:v>0.00684931506849315</x:v>
      </x:c>
    </x:row>
    <x:row r="18">
      <x:c r="I18" s="132" t="n">
        <x:v>2013</x:v>
      </x:c>
      <x:c r="J18" s="132" t="n">
        <x:v>7</x:v>
      </x:c>
      <x:c r="K18" s="132" t="str">
        <x:v>2013-07</x:v>
      </x:c>
      <x:c r="L18" s="134" t="n">
        <x:v>31143.96</x:v>
      </x:c>
      <x:c r="M18" s="132" t="n">
        <x:v>604</x:v>
      </x:c>
      <x:c r="N18" s="132" t="n">
        <x:v>601</x:v>
      </x:c>
      <x:c r="O18" s="132" t="n">
        <x:v>604</x:v>
      </x:c>
      <x:c r="Q18" s="142" t="str">
        <x:v>Customers in eligible cohorts</x:v>
      </x:c>
      <x:c r="R18" s="146" t="n">
        <x:v>30047</x:v>
      </x:c>
      <x:c r="U18" s="132" t="str">
        <x:v>2013-07</x:v>
      </x:c>
      <x:c r="V18" s="140" t="n">
        <x:v>0.008417508417508417</x:v>
      </x:c>
    </x:row>
    <x:row r="19">
      <x:c r="I19" s="132" t="n">
        <x:v>2013</x:v>
      </x:c>
      <x:c r="J19" s="132" t="n">
        <x:v>8</x:v>
      </x:c>
      <x:c r="K19" s="132" t="str">
        <x:v>2013-08</x:v>
      </x:c>
      <x:c r="L19" s="134" t="n">
        <x:v>31373.92</x:v>
      </x:c>
      <x:c r="M19" s="132" t="n">
        <x:v>608</x:v>
      </x:c>
      <x:c r="N19" s="132" t="n">
        <x:v>607</x:v>
      </x:c>
      <x:c r="O19" s="132" t="n">
        <x:v>608</x:v>
      </x:c>
      <x:c r="U19" s="132" t="str">
        <x:v>2013-08</x:v>
      </x:c>
      <x:c r="V19" s="140" t="n">
        <x:v>0.010033444816053512</x:v>
      </x:c>
    </x:row>
    <x:row r="20">
      <x:c r="I20" s="132" t="n">
        <x:v>2013</x:v>
      </x:c>
      <x:c r="J20" s="132" t="n">
        <x:v>9</x:v>
      </x:c>
      <x:c r="K20" s="132" t="str">
        <x:v>2013-09</x:v>
      </x:c>
      <x:c r="L20" s="134" t="n">
        <x:v>32723.65</x:v>
      </x:c>
      <x:c r="M20" s="132" t="n">
        <x:v>629</x:v>
      </x:c>
      <x:c r="N20" s="132" t="n">
        <x:v>627</x:v>
      </x:c>
      <x:c r="O20" s="132" t="n">
        <x:v>635</x:v>
      </x:c>
      <x:c r="U20" s="132" t="str">
        <x:v>2013-09</x:v>
      </x:c>
      <x:c r="V20" s="140" t="n">
        <x:v>0.012987012987012986</x:v>
      </x:c>
    </x:row>
    <x:row r="21">
      <x:c r="I21" s="132" t="n">
        <x:v>2013</x:v>
      </x:c>
      <x:c r="J21" s="132" t="n">
        <x:v>10</x:v>
      </x:c>
      <x:c r="K21" s="132" t="str">
        <x:v>2013-10</x:v>
      </x:c>
      <x:c r="L21" s="134" t="n">
        <x:v>38242.62</x:v>
      </x:c>
      <x:c r="M21" s="132" t="n">
        <x:v>708</x:v>
      </x:c>
      <x:c r="N21" s="132" t="n">
        <x:v>707</x:v>
      </x:c>
      <x:c r="O21" s="132" t="n">
        <x:v>738</x:v>
      </x:c>
      <x:c r="U21" s="132" t="str">
        <x:v>2013-10</x:v>
      </x:c>
      <x:c r="V21" s="140" t="n">
        <x:v>0.008645533141210375</x:v>
      </x:c>
    </x:row>
    <x:row r="22">
      <x:c r="I22" s="132" t="n">
        <x:v>2013</x:v>
      </x:c>
      <x:c r="J22" s="132" t="n">
        <x:v>11</x:v>
      </x:c>
      <x:c r="K22" s="132" t="str">
        <x:v>2013-11</x:v>
      </x:c>
      <x:c r="L22" s="134" t="n">
        <x:v>46631.02</x:v>
      </x:c>
      <x:c r="M22" s="132" t="n">
        <x:v>861</x:v>
      </x:c>
      <x:c r="N22" s="132" t="n">
        <x:v>859</x:v>
      </x:c>
      <x:c r="O22" s="132" t="n">
        <x:v>898</x:v>
      </x:c>
      <x:c r="U22" s="132" t="str">
        <x:v>2013-11</x:v>
      </x:c>
      <x:c r="V22" s="140" t="n">
        <x:v>0.0058823529411764705</x:v>
      </x:c>
    </x:row>
    <x:row r="23">
      <x:c r="I23" s="132" t="n">
        <x:v>2013</x:v>
      </x:c>
      <x:c r="J23" s="132" t="n">
        <x:v>12</x:v>
      </x:c>
      <x:c r="K23" s="132" t="str">
        <x:v>2013-12</x:v>
      </x:c>
      <x:c r="L23" s="134" t="n">
        <x:v>58262.6</x:v>
      </x:c>
      <x:c r="M23" s="132" t="n">
        <x:v>1047</x:v>
      </x:c>
      <x:c r="N23" s="132" t="n">
        <x:v>1044</x:v>
      </x:c>
      <x:c r="O23" s="132" t="n">
        <x:v>1140</x:v>
      </x:c>
      <x:c r="U23" s="132" t="str">
        <x:v>2013-12</x:v>
      </x:c>
      <x:c r="V23" s="140" t="n">
        <x:v>0.007714561234329798</x:v>
      </x:c>
    </x:row>
    <x:row r="24">
      <x:c r="I24" s="132" t="n">
        <x:v>2014</x:v>
      </x:c>
      <x:c r="J24" s="132" t="n">
        <x:v>1</x:v>
      </x:c>
      <x:c r="K24" s="132" t="str">
        <x:v>2014-01</x:v>
      </x:c>
      <x:c r="L24" s="134" t="n">
        <x:v>56568.89</x:v>
      </x:c>
      <x:c r="M24" s="132" t="n">
        <x:v>982</x:v>
      </x:c>
      <x:c r="N24" s="132" t="n">
        <x:v>977</x:v>
      </x:c>
      <x:c r="O24" s="132" t="n">
        <x:v>1111</x:v>
      </x:c>
      <x:c r="U24" s="132" t="str">
        <x:v>2014-01</x:v>
      </x:c>
      <x:c r="V24" s="140" t="n">
        <x:v>0.010395010395010396</x:v>
      </x:c>
    </x:row>
    <x:row r="25">
      <x:c r="I25" s="132" t="n">
        <x:v>2014</x:v>
      </x:c>
      <x:c r="J25" s="132" t="n">
        <x:v>2</x:v>
      </x:c>
      <x:c r="K25" s="132" t="str">
        <x:v>2014-02</x:v>
      </x:c>
      <x:c r="L25" s="134" t="n">
        <x:v>66012.52</x:v>
      </x:c>
      <x:c r="M25" s="132" t="n">
        <x:v>1021</x:v>
      </x:c>
      <x:c r="N25" s="132" t="n">
        <x:v>1017</x:v>
      </x:c>
      <x:c r="O25" s="132" t="n">
        <x:v>1348</x:v>
      </x:c>
      <x:c r="U25" s="132" t="str">
        <x:v>2014-02</x:v>
      </x:c>
      <x:c r="V25" s="140" t="n">
        <x:v>0.008008008008008008</x:v>
      </x:c>
    </x:row>
    <x:row r="26">
      <x:c r="I26" s="132" t="n">
        <x:v>2014</x:v>
      </x:c>
      <x:c r="J26" s="132" t="n">
        <x:v>3</x:v>
      </x:c>
      <x:c r="K26" s="132" t="str">
        <x:v>2014-03</x:v>
      </x:c>
      <x:c r="L26" s="134" t="n">
        <x:v>68189.73</x:v>
      </x:c>
      <x:c r="M26" s="132" t="n">
        <x:v>1066</x:v>
      </x:c>
      <x:c r="N26" s="132" t="n">
        <x:v>1063</x:v>
      </x:c>
      <x:c r="O26" s="132" t="n">
        <x:v>1427</x:v>
      </x:c>
      <x:c r="U26" s="132" t="str">
        <x:v>2014-03</x:v>
      </x:c>
      <x:c r="V26" s="140" t="n">
        <x:v>0.01049618320610687</x:v>
      </x:c>
    </x:row>
    <x:row r="27">
      <x:c r="I27" s="132" t="n">
        <x:v>2014</x:v>
      </x:c>
      <x:c r="J27" s="132" t="n">
        <x:v>4</x:v>
      </x:c>
      <x:c r="K27" s="132" t="str">
        <x:v>2014-04</x:v>
      </x:c>
      <x:c r="L27" s="134" t="n">
        <x:v>78725.43</x:v>
      </x:c>
      <x:c r="M27" s="132" t="n">
        <x:v>1241</x:v>
      </x:c>
      <x:c r="N27" s="132" t="n">
        <x:v>1239</x:v>
      </x:c>
      <x:c r="O27" s="132" t="n">
        <x:v>1657</x:v>
      </x:c>
      <x:c r="U27" s="132" t="str">
        <x:v>2014-04</x:v>
      </x:c>
      <x:c r="V27" s="140" t="n">
        <x:v>0.018106995884773665</x:v>
      </x:c>
    </x:row>
    <x:row r="28">
      <x:c r="I28" s="132" t="n">
        <x:v>2014</x:v>
      </x:c>
      <x:c r="J28" s="132" t="n">
        <x:v>5</x:v>
      </x:c>
      <x:c r="K28" s="132" t="str">
        <x:v>2014-05</x:v>
      </x:c>
      <x:c r="L28" s="134" t="n">
        <x:v>88935.27</x:v>
      </x:c>
      <x:c r="M28" s="132" t="n">
        <x:v>1368</x:v>
      </x:c>
      <x:c r="N28" s="132" t="n">
        <x:v>1362</x:v>
      </x:c>
      <x:c r="O28" s="132" t="n">
        <x:v>1873</x:v>
      </x:c>
      <x:c r="U28" s="132" t="str">
        <x:v>2014-05</x:v>
      </x:c>
      <x:c r="V28" s="140" t="n">
        <x:v>0.007496251874062968</x:v>
      </x:c>
    </x:row>
    <x:row r="29">
      <x:c r="I29" s="132" t="n">
        <x:v>2014</x:v>
      </x:c>
      <x:c r="J29" s="132" t="n">
        <x:v>6</x:v>
      </x:c>
      <x:c r="K29" s="132" t="str">
        <x:v>2014-06</x:v>
      </x:c>
      <x:c r="L29" s="134" t="n">
        <x:v>80051.25</x:v>
      </x:c>
      <x:c r="M29" s="132" t="n">
        <x:v>1239</x:v>
      </x:c>
      <x:c r="N29" s="132" t="n">
        <x:v>1236</x:v>
      </x:c>
      <x:c r="O29" s="132" t="n">
        <x:v>1675</x:v>
      </x:c>
      <x:c r="U29" s="132" t="str">
        <x:v>2014-06</x:v>
      </x:c>
      <x:c r="V29" s="140" t="n">
        <x:v>0.009023789991796555</x:v>
      </x:c>
    </x:row>
    <x:row r="30">
      <x:c r="I30" s="132" t="n">
        <x:v>2014</x:v>
      </x:c>
      <x:c r="J30" s="132" t="n">
        <x:v>7</x:v>
      </x:c>
      <x:c r="K30" s="132" t="str">
        <x:v>2014-07</x:v>
      </x:c>
      <x:c r="L30" s="134" t="n">
        <x:v>83288.55</x:v>
      </x:c>
      <x:c r="M30" s="132" t="n">
        <x:v>1286</x:v>
      </x:c>
      <x:c r="N30" s="132" t="n">
        <x:v>1278</x:v>
      </x:c>
      <x:c r="O30" s="132" t="n">
        <x:v>1745</x:v>
      </x:c>
      <x:c r="U30" s="132" t="str">
        <x:v>2014-07</x:v>
      </x:c>
      <x:c r="V30" s="140" t="n">
        <x:v>0.005555555555555556</x:v>
      </x:c>
    </x:row>
    <x:row r="31">
      <x:c r="I31" s="132" t="n">
        <x:v>2014</x:v>
      </x:c>
      <x:c r="J31" s="132" t="n">
        <x:v>8</x:v>
      </x:c>
      <x:c r="K31" s="132" t="str">
        <x:v>2014-08</x:v>
      </x:c>
      <x:c r="L31" s="134" t="n">
        <x:v>84716.08</x:v>
      </x:c>
      <x:c r="M31" s="132" t="n">
        <x:v>1325</x:v>
      </x:c>
      <x:c r="N31" s="132" t="n">
        <x:v>1321</x:v>
      </x:c>
      <x:c r="O31" s="132" t="n">
        <x:v>1792</x:v>
      </x:c>
      <x:c r="U31" s="132" t="str">
        <x:v>2014-08</x:v>
      </x:c>
      <x:c r="V31" s="140" t="n">
        <x:v>0.01225114854517611</x:v>
      </x:c>
    </x:row>
    <x:row r="32">
      <x:c r="I32" s="132" t="n">
        <x:v>2014</x:v>
      </x:c>
      <x:c r="J32" s="132" t="n">
        <x:v>9</x:v>
      </x:c>
      <x:c r="K32" s="132" t="str">
        <x:v>2014-09</x:v>
      </x:c>
      <x:c r="L32" s="134" t="n">
        <x:v>92232.49</x:v>
      </x:c>
      <x:c r="M32" s="132" t="n">
        <x:v>1424</x:v>
      </x:c>
      <x:c r="N32" s="132" t="n">
        <x:v>1415</x:v>
      </x:c>
      <x:c r="O32" s="132" t="n">
        <x:v>1951</x:v>
      </x:c>
      <x:c r="U32" s="132" t="str">
        <x:v>2014-09</x:v>
      </x:c>
      <x:c r="V32" s="140" t="n">
        <x:v>0.01083032490974729</x:v>
      </x:c>
    </x:row>
    <x:row r="33">
      <x:c r="I33" s="132" t="n">
        <x:v>2014</x:v>
      </x:c>
      <x:c r="J33" s="132" t="n">
        <x:v>10</x:v>
      </x:c>
      <x:c r="K33" s="132" t="str">
        <x:v>2014-10</x:v>
      </x:c>
      <x:c r="L33" s="134" t="n">
        <x:v>103905.98</x:v>
      </x:c>
      <x:c r="M33" s="132" t="n">
        <x:v>1609</x:v>
      </x:c>
      <x:c r="N33" s="132" t="n">
        <x:v>1603</x:v>
      </x:c>
      <x:c r="O33" s="132" t="n">
        <x:v>2202</x:v>
      </x:c>
      <x:c r="U33" s="132" t="str">
        <x:v>2014-10</x:v>
      </x:c>
      <x:c r="V33" s="140" t="n">
        <x:v>0.01139240506329114</x:v>
      </x:c>
    </x:row>
    <x:row r="34">
      <x:c r="I34" s="132" t="n">
        <x:v>2014</x:v>
      </x:c>
      <x:c r="J34" s="132" t="n">
        <x:v>11</x:v>
      </x:c>
      <x:c r="K34" s="132" t="str">
        <x:v>2014-11</x:v>
      </x:c>
      <x:c r="L34" s="134" t="n">
        <x:v>128162.98</x:v>
      </x:c>
      <x:c r="M34" s="132" t="n">
        <x:v>1985</x:v>
      </x:c>
      <x:c r="N34" s="132" t="n">
        <x:v>1978</x:v>
      </x:c>
      <x:c r="O34" s="132" t="n">
        <x:v>2702</x:v>
      </x:c>
      <x:c r="U34" s="132" t="str">
        <x:v>2014-11</x:v>
      </x:c>
      <x:c r="V34" s="140" t="n">
        <x:v>0.011788826242952332</x:v>
      </x:c>
    </x:row>
    <x:row r="35">
      <x:c r="I35" s="132" t="n">
        <x:v>2014</x:v>
      </x:c>
      <x:c r="J35" s="132" t="n">
        <x:v>12</x:v>
      </x:c>
      <x:c r="K35" s="132" t="str">
        <x:v>2014-12</x:v>
      </x:c>
      <x:c r="L35" s="134" t="n">
        <x:v>144823.02</x:v>
      </x:c>
      <x:c r="M35" s="132" t="n">
        <x:v>2314</x:v>
      </x:c>
      <x:c r="N35" s="132" t="n">
        <x:v>2301</x:v>
      </x:c>
      <x:c r="O35" s="132" t="n">
        <x:v>3098</x:v>
      </x:c>
      <x:c r="U35" s="132" t="str">
        <x:v>2014-12</x:v>
      </x:c>
      <x:c r="V35" s="140" t="n">
        <x:v>0.011042402826855124</x:v>
      </x:c>
    </x:row>
    <x:row r="36">
      <x:c r="I36" s="132" t="n">
        <x:v>2015</x:v>
      </x:c>
      <x:c r="J36" s="132" t="n">
        <x:v>1</x:v>
      </x:c>
      <x:c r="K36" s="132" t="str">
        <x:v>2015-01</x:v>
      </x:c>
      <x:c r="L36" s="134" t="n">
        <x:v>132211.54</x:v>
      </x:c>
      <x:c r="M36" s="132" t="n">
        <x:v>2098</x:v>
      </x:c>
      <x:c r="N36" s="132" t="n">
        <x:v>2086</x:v>
      </x:c>
      <x:c r="O36" s="132" t="n">
        <x:v>2846</x:v>
      </x:c>
      <x:c r="U36" s="132" t="str">
        <x:v>2015-01</x:v>
      </x:c>
      <x:c r="V36" s="140" t="n">
        <x:v>0.014641288433382138</x:v>
      </x:c>
    </x:row>
    <x:row r="37">
      <x:c r="I37" s="132" t="n">
        <x:v>2015</x:v>
      </x:c>
      <x:c r="J37" s="132" t="n">
        <x:v>2</x:v>
      </x:c>
      <x:c r="K37" s="132" t="str">
        <x:v>2015-02</x:v>
      </x:c>
      <x:c r="L37" s="134" t="n">
        <x:v>129212.94</x:v>
      </x:c>
      <x:c r="M37" s="132" t="n">
        <x:v>2068</x:v>
      </x:c>
      <x:c r="N37" s="132" t="n">
        <x:v>2053</x:v>
      </x:c>
      <x:c r="O37" s="132" t="n">
        <x:v>2706</x:v>
      </x:c>
      <x:c r="U37" s="132" t="str">
        <x:v>2015-02</x:v>
      </x:c>
      <x:c r="V37" s="140" t="n">
        <x:v>0.007984031936127744</x:v>
      </x:c>
    </x:row>
    <x:row r="38">
      <x:c r="I38" s="132" t="n">
        <x:v>2015</x:v>
      </x:c>
      <x:c r="J38" s="132" t="n">
        <x:v>3</x:v>
      </x:c>
      <x:c r="K38" s="132" t="str">
        <x:v>2015-03</x:v>
      </x:c>
      <x:c r="L38" s="134" t="n">
        <x:v>78951.07</x:v>
      </x:c>
      <x:c r="M38" s="132" t="n">
        <x:v>1254</x:v>
      </x:c>
      <x:c r="N38" s="132" t="n">
        <x:v>1249</x:v>
      </x:c>
      <x:c r="O38" s="132" t="n">
        <x:v>1693</x:v>
      </x:c>
      <x:c r="U38" s="132" t="str">
        <x:v>2015-03</x:v>
      </x:c>
      <x:c r="V38" s="140"/>
    </x:row>
  </x:sheetData>
  <x:mergeCells>
    <x:mergeCell ref="A9:G10"/>
  </x:mergeCells>
  <x:pageMargins left="0.7" right="0.7" top="0.75" bottom="0.75" header="0.3" footer="0.3"/>
</x:worksheet>
</file>